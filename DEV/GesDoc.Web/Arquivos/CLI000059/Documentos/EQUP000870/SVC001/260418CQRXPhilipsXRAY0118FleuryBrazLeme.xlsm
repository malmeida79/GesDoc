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bookViews>
    <workbookView xWindow="-15" yWindow="105" windowWidth="6000" windowHeight="6720" tabRatio="768"/>
  </bookViews>
  <sheets>
    <sheet name="GABARITO DIGITAÇÃO" sheetId="24" r:id="rId1"/>
    <sheet name="CERTIFICADO" sheetId="23" r:id="rId2"/>
    <sheet name="Capa" sheetId="18" r:id="rId3"/>
    <sheet name="des" sheetId="19" r:id="rId4"/>
    <sheet name="Vistorias" sheetId="8" r:id="rId5"/>
    <sheet name="kVp" sheetId="2" r:id="rId6"/>
    <sheet name="Tubo" sheetId="16" r:id="rId7"/>
    <sheet name="Testes Mec." sheetId="12" r:id="rId8"/>
    <sheet name="DEP" sheetId="20" r:id="rId9"/>
    <sheet name="Escopia" sheetId="22" state="hidden" r:id="rId10"/>
    <sheet name="Resultados" sheetId="17" r:id="rId11"/>
    <sheet name="LR" sheetId="21" r:id="rId12"/>
  </sheets>
  <definedNames>
    <definedName name="_xlnm.Print_Area" localSheetId="2">Capa!$A$1:$D$40</definedName>
    <definedName name="_xlnm.Print_Area" localSheetId="1">CERTIFICADO!$A$1:$I$42</definedName>
    <definedName name="_xlnm.Print_Area" localSheetId="8">DEP!$A$1:$I$37</definedName>
    <definedName name="_xlnm.Print_Area" localSheetId="3">des!$A$1:$J$27</definedName>
    <definedName name="_xlnm.Print_Area" localSheetId="9">Escopia!$A$1:$K$51</definedName>
    <definedName name="_xlnm.Print_Area" localSheetId="0">'GABARITO DIGITAÇÃO'!$A$1:$H$249</definedName>
    <definedName name="_xlnm.Print_Area" localSheetId="5">kVp!$A$1:$E$55</definedName>
    <definedName name="_xlnm.Print_Area" localSheetId="11">LR!$A$1:$J$60</definedName>
    <definedName name="_xlnm.Print_Area" localSheetId="10">Resultados!$A$1:$G$107</definedName>
    <definedName name="_xlnm.Print_Area" localSheetId="7">'Testes Mec.'!$A$1:$G$35</definedName>
    <definedName name="_xlnm.Print_Area" localSheetId="6">Tubo!$A$1:$G$54</definedName>
    <definedName name="_xlnm.Print_Area" localSheetId="4">Vistorias!$A$1:$G$34</definedName>
  </definedNames>
  <calcPr calcId="145621"/>
</workbook>
</file>

<file path=xl/calcChain.xml><?xml version="1.0" encoding="utf-8"?>
<calcChain xmlns="http://schemas.openxmlformats.org/spreadsheetml/2006/main">
  <c r="G42" i="20" l="1"/>
  <c r="G42" i="8"/>
  <c r="C50" i="2"/>
  <c r="D50" i="2"/>
  <c r="B50" i="2"/>
  <c r="F12" i="16" l="1"/>
  <c r="G56" i="17" l="1"/>
  <c r="G69" i="17"/>
  <c r="G68" i="17"/>
  <c r="G72" i="17"/>
  <c r="G71" i="17"/>
  <c r="F47" i="20" l="1"/>
  <c r="G47" i="20" s="1"/>
  <c r="F85" i="17" s="1"/>
  <c r="C47" i="20"/>
  <c r="B47" i="20"/>
  <c r="F84" i="17"/>
  <c r="F42" i="20"/>
  <c r="C42" i="20"/>
  <c r="B42" i="20"/>
  <c r="I47" i="16" l="1"/>
  <c r="A34" i="16" l="1"/>
  <c r="C37" i="16"/>
  <c r="C38" i="16"/>
  <c r="C39" i="16"/>
  <c r="C40" i="16"/>
  <c r="B38" i="16"/>
  <c r="B39" i="16"/>
  <c r="B40" i="16"/>
  <c r="B37" i="16"/>
  <c r="C41" i="16" l="1"/>
  <c r="D50" i="22"/>
  <c r="C50" i="22"/>
  <c r="B50" i="22"/>
  <c r="D47" i="22"/>
  <c r="C47" i="22"/>
  <c r="B47" i="22"/>
  <c r="D44" i="22"/>
  <c r="C44" i="22"/>
  <c r="B44" i="22"/>
  <c r="D41" i="22"/>
  <c r="C41" i="22"/>
  <c r="B41" i="22"/>
  <c r="E242" i="24"/>
  <c r="E239" i="24"/>
  <c r="D36" i="22"/>
  <c r="C36" i="22"/>
  <c r="B36" i="22"/>
  <c r="D33" i="22"/>
  <c r="C33" i="22"/>
  <c r="B33" i="22"/>
  <c r="D30" i="22"/>
  <c r="C30" i="22"/>
  <c r="B30" i="22"/>
  <c r="D27" i="22"/>
  <c r="C27" i="22"/>
  <c r="B27" i="22"/>
  <c r="F27" i="22" s="1"/>
  <c r="F96" i="17" s="1"/>
  <c r="E225" i="24"/>
  <c r="E222" i="24"/>
  <c r="J8" i="22" l="1"/>
  <c r="H9" i="22"/>
  <c r="H10" i="22"/>
  <c r="H8" i="22"/>
  <c r="F44" i="22"/>
  <c r="F41" i="22"/>
  <c r="F99" i="17" s="1"/>
  <c r="F30" i="22" l="1"/>
  <c r="E249" i="24"/>
  <c r="I8" i="22"/>
  <c r="I9" i="22"/>
  <c r="I10" i="22"/>
  <c r="K8" i="22"/>
  <c r="K9" i="22"/>
  <c r="K10" i="22"/>
  <c r="J9" i="22"/>
  <c r="P9" i="22" s="1"/>
  <c r="J10" i="22"/>
  <c r="P10" i="22" s="1"/>
  <c r="E10" i="20"/>
  <c r="I13" i="20"/>
  <c r="B178" i="24"/>
  <c r="F191" i="24" l="1"/>
  <c r="H47" i="20" s="1"/>
  <c r="C85" i="17" s="1"/>
  <c r="G85" i="17" s="1"/>
  <c r="F189" i="24"/>
  <c r="F187" i="24"/>
  <c r="H31" i="20" s="1"/>
  <c r="C81" i="17" s="1"/>
  <c r="F185" i="24"/>
  <c r="F183" i="24"/>
  <c r="F181" i="24"/>
  <c r="F190" i="24"/>
  <c r="H42" i="20" s="1"/>
  <c r="C84" i="17" s="1"/>
  <c r="G84" i="17" s="1"/>
  <c r="F188" i="24"/>
  <c r="F186" i="24"/>
  <c r="H30" i="20" s="1"/>
  <c r="C80" i="17" s="1"/>
  <c r="F184" i="24"/>
  <c r="H20" i="20" s="1"/>
  <c r="C78" i="17" s="1"/>
  <c r="F182" i="24"/>
  <c r="F180" i="24"/>
  <c r="Q10" i="22"/>
  <c r="Q8" i="22"/>
  <c r="Q9" i="22"/>
  <c r="H36" i="20"/>
  <c r="C82" i="17" s="1"/>
  <c r="H37" i="20"/>
  <c r="C83" i="17" s="1"/>
  <c r="P8" i="22"/>
  <c r="P12" i="22" s="1"/>
  <c r="G88" i="17" s="1"/>
  <c r="H13" i="20"/>
  <c r="C75" i="17" s="1"/>
  <c r="H14" i="20"/>
  <c r="C76" i="17" s="1"/>
  <c r="H19" i="20"/>
  <c r="C77" i="17" s="1"/>
  <c r="H12" i="20"/>
  <c r="C74" i="17" s="1"/>
  <c r="H25" i="20"/>
  <c r="C79" i="17" s="1"/>
  <c r="F5" i="20"/>
  <c r="D30" i="2"/>
  <c r="D18" i="2"/>
  <c r="C18" i="17" s="1"/>
  <c r="C30" i="17" s="1"/>
  <c r="D6" i="2"/>
  <c r="E17" i="20"/>
  <c r="E23" i="20" l="1"/>
  <c r="E34" i="20"/>
  <c r="A51" i="24"/>
  <c r="A31" i="8" s="1"/>
  <c r="D26" i="8" l="1"/>
  <c r="D27" i="8"/>
  <c r="D7" i="8"/>
  <c r="D8" i="8"/>
  <c r="D9" i="8"/>
  <c r="D10" i="8"/>
  <c r="D11" i="8"/>
  <c r="D12" i="8"/>
  <c r="D13" i="8"/>
  <c r="D14" i="8"/>
  <c r="D15" i="8"/>
  <c r="D16" i="8"/>
  <c r="D17" i="8"/>
  <c r="D18" i="8"/>
  <c r="D20" i="8"/>
  <c r="D6" i="8"/>
  <c r="C22" i="18" l="1"/>
  <c r="C20" i="18"/>
  <c r="C18" i="18"/>
  <c r="C16" i="18"/>
  <c r="C14" i="18"/>
  <c r="C12" i="18"/>
  <c r="C10" i="18"/>
  <c r="B42" i="24" l="1"/>
  <c r="D24" i="8" s="1"/>
  <c r="B40" i="24"/>
  <c r="D22" i="8" s="1"/>
  <c r="B43" i="24"/>
  <c r="D25" i="8" s="1"/>
  <c r="B41" i="24"/>
  <c r="D23" i="8" s="1"/>
  <c r="B39" i="24"/>
  <c r="D21" i="8" s="1"/>
  <c r="B37" i="24"/>
  <c r="D19" i="8" s="1"/>
  <c r="F37" i="20"/>
  <c r="G37" i="20" s="1"/>
  <c r="F36" i="20"/>
  <c r="G36" i="20" s="1"/>
  <c r="F31" i="20"/>
  <c r="G31" i="20" s="1"/>
  <c r="F30" i="20"/>
  <c r="G30" i="20" s="1"/>
  <c r="F25" i="20"/>
  <c r="G25" i="20" s="1"/>
  <c r="F20" i="20"/>
  <c r="G20" i="20" s="1"/>
  <c r="F19" i="20"/>
  <c r="G19" i="20" s="1"/>
  <c r="F13" i="20"/>
  <c r="G13" i="20" s="1"/>
  <c r="F14" i="20"/>
  <c r="G14" i="20" s="1"/>
  <c r="F12" i="20"/>
  <c r="G12" i="20" s="1"/>
  <c r="B37" i="20"/>
  <c r="C37" i="20"/>
  <c r="C36" i="20"/>
  <c r="B36" i="20"/>
  <c r="C30" i="20"/>
  <c r="C31" i="20"/>
  <c r="B31" i="20"/>
  <c r="B30" i="20"/>
  <c r="C25" i="20"/>
  <c r="B25" i="20"/>
  <c r="C19" i="20"/>
  <c r="C20" i="20"/>
  <c r="B20" i="20"/>
  <c r="B19" i="20"/>
  <c r="B14" i="20"/>
  <c r="C14" i="20"/>
  <c r="B13" i="20"/>
  <c r="C13" i="20"/>
  <c r="C12" i="20"/>
  <c r="B12" i="20"/>
  <c r="F23" i="22"/>
  <c r="F22" i="22"/>
  <c r="D23" i="22"/>
  <c r="D22" i="22"/>
  <c r="F15" i="22"/>
  <c r="D15" i="22"/>
  <c r="A15" i="22"/>
  <c r="E8" i="22"/>
  <c r="E9" i="22"/>
  <c r="E10" i="22"/>
  <c r="D9" i="22"/>
  <c r="D10" i="22"/>
  <c r="D8" i="22"/>
  <c r="C8" i="22"/>
  <c r="C9" i="22"/>
  <c r="C10" i="22"/>
  <c r="B9" i="22"/>
  <c r="B10" i="22"/>
  <c r="B8" i="22"/>
  <c r="D47" i="12"/>
  <c r="E47" i="12"/>
  <c r="F47" i="12"/>
  <c r="G47" i="12"/>
  <c r="C47" i="12"/>
  <c r="G40" i="12"/>
  <c r="F40" i="12"/>
  <c r="E40" i="12"/>
  <c r="D40" i="12"/>
  <c r="C40" i="12"/>
  <c r="C29" i="12"/>
  <c r="C22" i="12"/>
  <c r="F6" i="12"/>
  <c r="C53" i="12" s="1"/>
  <c r="C7" i="12"/>
  <c r="B56" i="12" s="1"/>
  <c r="C8" i="12"/>
  <c r="B57" i="12" s="1"/>
  <c r="C57" i="12" s="1"/>
  <c r="C9" i="12"/>
  <c r="B58" i="12" s="1"/>
  <c r="C6" i="12"/>
  <c r="C16" i="12"/>
  <c r="C18" i="16"/>
  <c r="D18" i="16"/>
  <c r="E18" i="16"/>
  <c r="F18" i="16"/>
  <c r="G18" i="16"/>
  <c r="C19" i="16"/>
  <c r="D19" i="16"/>
  <c r="E19" i="16"/>
  <c r="F19" i="16"/>
  <c r="G19" i="16"/>
  <c r="B19" i="16"/>
  <c r="B18" i="16"/>
  <c r="C17" i="16"/>
  <c r="D51" i="17" s="1"/>
  <c r="D17" i="16"/>
  <c r="D52" i="17" s="1"/>
  <c r="E17" i="16"/>
  <c r="D53" i="17" s="1"/>
  <c r="F17" i="16"/>
  <c r="D54" i="17" s="1"/>
  <c r="G17" i="16"/>
  <c r="D55" i="17" s="1"/>
  <c r="B17" i="16"/>
  <c r="D50" i="17" s="1"/>
  <c r="B16" i="16"/>
  <c r="C58" i="12" l="1"/>
  <c r="C56" i="12"/>
  <c r="D6" i="12"/>
  <c r="B55" i="12"/>
  <c r="N8" i="22"/>
  <c r="N9" i="22"/>
  <c r="D44" i="2"/>
  <c r="C107" i="24"/>
  <c r="C44" i="2" s="1"/>
  <c r="C45" i="2"/>
  <c r="D45" i="2"/>
  <c r="C46" i="2"/>
  <c r="D46" i="2"/>
  <c r="B6" i="16" s="1"/>
  <c r="C47" i="2"/>
  <c r="D47" i="2"/>
  <c r="B45" i="2"/>
  <c r="B46" i="2"/>
  <c r="B47" i="2"/>
  <c r="B44" i="2"/>
  <c r="C32" i="2"/>
  <c r="D32" i="2"/>
  <c r="E32" i="2"/>
  <c r="C33" i="2"/>
  <c r="D33" i="2"/>
  <c r="E33" i="2"/>
  <c r="B32" i="2"/>
  <c r="B33" i="2"/>
  <c r="B30" i="2"/>
  <c r="C20" i="2"/>
  <c r="D20" i="2"/>
  <c r="E20" i="2"/>
  <c r="C21" i="2"/>
  <c r="D21" i="2"/>
  <c r="E21" i="2"/>
  <c r="B20" i="2"/>
  <c r="B21" i="2"/>
  <c r="B18" i="2"/>
  <c r="C8" i="2"/>
  <c r="D8" i="2"/>
  <c r="E8" i="2"/>
  <c r="C9" i="2"/>
  <c r="D9" i="2"/>
  <c r="E9" i="2"/>
  <c r="B8" i="2"/>
  <c r="B9" i="2"/>
  <c r="C7" i="2"/>
  <c r="D7" i="2"/>
  <c r="E7" i="2"/>
  <c r="B7" i="2"/>
  <c r="C14" i="17"/>
  <c r="E6" i="2"/>
  <c r="B6" i="2"/>
  <c r="A6" i="2"/>
  <c r="C53" i="8"/>
  <c r="C54" i="8"/>
  <c r="C55" i="8"/>
  <c r="C56" i="8"/>
  <c r="C57" i="8"/>
  <c r="C52" i="8"/>
  <c r="B53" i="8"/>
  <c r="B54" i="8"/>
  <c r="B55" i="8"/>
  <c r="B56" i="8"/>
  <c r="B57" i="8"/>
  <c r="B52" i="8"/>
  <c r="G37" i="8"/>
  <c r="G38" i="8"/>
  <c r="G39" i="8"/>
  <c r="G40" i="8"/>
  <c r="G41" i="8"/>
  <c r="G43" i="8"/>
  <c r="C43" i="8"/>
  <c r="C44" i="8"/>
  <c r="C42" i="8"/>
  <c r="C37" i="8"/>
  <c r="C38" i="8"/>
  <c r="C39" i="8"/>
  <c r="C36" i="8"/>
  <c r="G10" i="8"/>
  <c r="G9" i="8"/>
  <c r="G8" i="8"/>
  <c r="G11" i="8"/>
  <c r="G12" i="8"/>
  <c r="G13" i="8"/>
  <c r="G14" i="8"/>
  <c r="G15" i="8"/>
  <c r="G16" i="8"/>
  <c r="G17" i="8"/>
  <c r="G7" i="8"/>
  <c r="C39" i="18"/>
  <c r="C32" i="18"/>
  <c r="C30" i="18"/>
  <c r="C28" i="18"/>
  <c r="C164" i="24" s="1"/>
  <c r="C26" i="18"/>
  <c r="C24" i="18"/>
  <c r="C8" i="18"/>
  <c r="C6" i="18"/>
  <c r="A104" i="17" s="1"/>
  <c r="C4" i="18"/>
  <c r="A69" i="24"/>
  <c r="E58" i="24"/>
  <c r="G36" i="8" s="1"/>
  <c r="E246" i="24"/>
  <c r="E232" i="24"/>
  <c r="E229" i="24"/>
  <c r="B215" i="24"/>
  <c r="A143" i="24"/>
  <c r="A142" i="24"/>
  <c r="E99" i="24"/>
  <c r="E31" i="2" s="1"/>
  <c r="D99" i="24"/>
  <c r="D31" i="2" s="1"/>
  <c r="C99" i="24"/>
  <c r="C31" i="2" s="1"/>
  <c r="B99" i="24"/>
  <c r="B31" i="2" s="1"/>
  <c r="A98" i="24"/>
  <c r="E92" i="24"/>
  <c r="E19" i="2" s="1"/>
  <c r="D92" i="24"/>
  <c r="D19" i="2" s="1"/>
  <c r="C92" i="24"/>
  <c r="C19" i="2" s="1"/>
  <c r="B92" i="24"/>
  <c r="B19" i="2" s="1"/>
  <c r="A91" i="24"/>
  <c r="A55" i="24"/>
  <c r="A35" i="12" s="1"/>
  <c r="B63" i="24"/>
  <c r="B62" i="24"/>
  <c r="F29" i="24"/>
  <c r="F28" i="24"/>
  <c r="D25" i="24" l="1"/>
  <c r="F22" i="8" s="1"/>
  <c r="J56" i="12"/>
  <c r="E58" i="12" s="1"/>
  <c r="C55" i="12"/>
  <c r="E55" i="12" s="1"/>
  <c r="F71" i="17" s="1"/>
  <c r="A34" i="8"/>
  <c r="J6" i="22"/>
  <c r="D200" i="24"/>
  <c r="E115" i="24"/>
  <c r="B200" i="24"/>
  <c r="C215" i="24" s="1"/>
  <c r="G224" i="24" s="1"/>
  <c r="G241" i="24" s="1"/>
  <c r="C160" i="24"/>
  <c r="C210" i="24"/>
  <c r="G231" i="24" s="1"/>
  <c r="G248" i="24" s="1"/>
  <c r="G149" i="24"/>
  <c r="F72" i="17" l="1"/>
  <c r="F58" i="12"/>
  <c r="C13" i="17"/>
  <c r="C17" i="17"/>
  <c r="C29" i="17" l="1"/>
  <c r="E25" i="23" l="1"/>
  <c r="E27" i="23" s="1"/>
  <c r="D22" i="23"/>
  <c r="D17" i="23"/>
  <c r="D15" i="23"/>
  <c r="D13" i="23"/>
  <c r="D11" i="23"/>
  <c r="D9" i="23"/>
  <c r="D3" i="23"/>
  <c r="B29" i="23"/>
  <c r="F33" i="22" l="1"/>
  <c r="F97" i="17" s="1"/>
  <c r="C22" i="16" l="1"/>
  <c r="D22" i="16"/>
  <c r="E22" i="16"/>
  <c r="F22" i="16"/>
  <c r="G22" i="16"/>
  <c r="B22" i="16"/>
  <c r="D7" i="12" l="1"/>
  <c r="D8" i="12"/>
  <c r="D9" i="12"/>
  <c r="F62" i="17" l="1"/>
  <c r="B9" i="16"/>
  <c r="B8" i="16"/>
  <c r="D49" i="16" s="1"/>
  <c r="B7" i="16"/>
  <c r="C49" i="16" s="1"/>
  <c r="E6" i="16"/>
  <c r="A47" i="16" s="1"/>
  <c r="C20" i="12"/>
  <c r="C27" i="12"/>
  <c r="B49" i="16" l="1"/>
  <c r="B10" i="16"/>
  <c r="F11" i="16"/>
  <c r="D6" i="22"/>
  <c r="G99" i="17" l="1"/>
  <c r="G96" i="17"/>
  <c r="F14" i="22"/>
  <c r="A43" i="22"/>
  <c r="A29" i="22"/>
  <c r="F94" i="17"/>
  <c r="F93" i="17"/>
  <c r="F90" i="17"/>
  <c r="A35" i="22" l="1"/>
  <c r="K5" i="17"/>
  <c r="I28" i="17" l="1"/>
  <c r="K4" i="17"/>
  <c r="O90" i="17" s="1"/>
  <c r="O88" i="17" l="1"/>
  <c r="O89" i="17"/>
  <c r="O87" i="17"/>
  <c r="I27" i="17"/>
  <c r="I29" i="17"/>
  <c r="I26" i="17"/>
  <c r="O9" i="22"/>
  <c r="O10" i="22"/>
  <c r="O8" i="22"/>
  <c r="N10" i="22"/>
  <c r="N12" i="22"/>
  <c r="G87" i="17" s="1"/>
  <c r="G94" i="17" l="1"/>
  <c r="G93" i="17"/>
  <c r="G90" i="17"/>
  <c r="F50" i="22"/>
  <c r="G100" i="17" s="1"/>
  <c r="A49" i="22"/>
  <c r="F47" i="22"/>
  <c r="F100" i="17" s="1"/>
  <c r="F36" i="22"/>
  <c r="G97" i="17" s="1"/>
  <c r="G95" i="17"/>
  <c r="F21" i="22"/>
  <c r="A20" i="22"/>
  <c r="C20" i="17" l="1"/>
  <c r="C32" i="17" s="1"/>
  <c r="C16" i="17"/>
  <c r="C28" i="17" s="1"/>
  <c r="C15" i="17"/>
  <c r="C27" i="17" s="1"/>
  <c r="C26" i="17"/>
  <c r="C25" i="17"/>
  <c r="C12" i="17"/>
  <c r="C24" i="17" s="1"/>
  <c r="A51" i="16" l="1"/>
  <c r="A50" i="16"/>
  <c r="A47" i="8" l="1"/>
  <c r="O91" i="17" l="1"/>
  <c r="H8" i="8"/>
  <c r="H7" i="8"/>
  <c r="O81" i="17"/>
  <c r="O75" i="17"/>
  <c r="O79" i="17"/>
  <c r="O80" i="17"/>
  <c r="O74" i="17"/>
  <c r="O73" i="17"/>
  <c r="O82" i="17" l="1"/>
  <c r="B4" i="21" l="1"/>
  <c r="H30" i="21" l="1"/>
  <c r="H29" i="21"/>
  <c r="H28" i="21"/>
  <c r="H27" i="21"/>
  <c r="H26" i="21"/>
  <c r="H25" i="21"/>
  <c r="H16" i="21"/>
  <c r="H15" i="21"/>
  <c r="H14" i="21"/>
  <c r="H21" i="21"/>
  <c r="H20" i="21"/>
  <c r="H24" i="21"/>
  <c r="H40" i="21"/>
  <c r="H11" i="21"/>
  <c r="H12" i="21"/>
  <c r="H39" i="21"/>
  <c r="H35" i="21"/>
  <c r="H34" i="21"/>
  <c r="K47" i="16"/>
  <c r="H70" i="21"/>
  <c r="H69" i="21"/>
  <c r="H68" i="21"/>
  <c r="H67" i="21"/>
  <c r="H66" i="21"/>
  <c r="H65" i="21"/>
  <c r="H64" i="21"/>
  <c r="H63" i="21"/>
  <c r="H62" i="21"/>
  <c r="H61" i="21"/>
  <c r="H60" i="21"/>
  <c r="H59" i="21"/>
  <c r="H58" i="21"/>
  <c r="H57" i="21"/>
  <c r="H56" i="21"/>
  <c r="C30" i="12"/>
  <c r="C31" i="12" s="1"/>
  <c r="C32" i="12" s="1"/>
  <c r="G67" i="17" s="1"/>
  <c r="I23" i="17" s="1"/>
  <c r="B6" i="21"/>
  <c r="F6" i="21" s="1"/>
  <c r="H9" i="21"/>
  <c r="H10" i="21"/>
  <c r="H13" i="21"/>
  <c r="H17" i="21"/>
  <c r="H18" i="21"/>
  <c r="H19" i="21"/>
  <c r="H22" i="21"/>
  <c r="H23" i="21"/>
  <c r="H31" i="21"/>
  <c r="H32" i="21"/>
  <c r="H33" i="21"/>
  <c r="H36" i="21"/>
  <c r="H37" i="21"/>
  <c r="H38" i="21"/>
  <c r="H41" i="21"/>
  <c r="H42" i="21"/>
  <c r="H43" i="21"/>
  <c r="H44" i="21"/>
  <c r="H45" i="21"/>
  <c r="H46" i="21"/>
  <c r="H47" i="21"/>
  <c r="H48" i="21"/>
  <c r="H49" i="21"/>
  <c r="H50" i="21"/>
  <c r="H51" i="21"/>
  <c r="H52" i="21"/>
  <c r="H53" i="21"/>
  <c r="H54" i="21"/>
  <c r="H55" i="21"/>
  <c r="E12" i="2"/>
  <c r="E15" i="2" s="1"/>
  <c r="D12" i="2"/>
  <c r="D13" i="2" s="1"/>
  <c r="F14" i="17" s="1"/>
  <c r="G14" i="17" s="1"/>
  <c r="C12" i="2"/>
  <c r="C15" i="2" s="1"/>
  <c r="F25" i="17" s="1"/>
  <c r="G25" i="17" s="1"/>
  <c r="B12" i="2"/>
  <c r="C41" i="8"/>
  <c r="F7" i="17" s="1"/>
  <c r="G7" i="17" s="1"/>
  <c r="O83" i="17" s="1"/>
  <c r="C40" i="8"/>
  <c r="G5" i="17"/>
  <c r="B24" i="2"/>
  <c r="B27" i="2" s="1"/>
  <c r="C24" i="2"/>
  <c r="C27" i="2" s="1"/>
  <c r="D24" i="2"/>
  <c r="D27" i="2" s="1"/>
  <c r="F30" i="17" s="1"/>
  <c r="G30" i="17" s="1"/>
  <c r="E24" i="2"/>
  <c r="E27" i="2" s="1"/>
  <c r="D33" i="17"/>
  <c r="D34" i="17"/>
  <c r="D23" i="17"/>
  <c r="D20" i="17"/>
  <c r="D28" i="17"/>
  <c r="C23" i="12"/>
  <c r="C24" i="12" s="1"/>
  <c r="C25" i="12" s="1"/>
  <c r="G66" i="17" s="1"/>
  <c r="I22" i="17" s="1"/>
  <c r="F77" i="17"/>
  <c r="G77" i="17" s="1"/>
  <c r="I20" i="20"/>
  <c r="F78" i="17"/>
  <c r="G78" i="17" s="1"/>
  <c r="I19" i="20"/>
  <c r="G64" i="17"/>
  <c r="I21" i="17" s="1"/>
  <c r="E9" i="16"/>
  <c r="D48" i="17"/>
  <c r="D47" i="17"/>
  <c r="G23" i="16"/>
  <c r="F25" i="16"/>
  <c r="F26" i="16" s="1"/>
  <c r="G54" i="17" s="1"/>
  <c r="G10" i="17"/>
  <c r="G6" i="17"/>
  <c r="D63" i="2"/>
  <c r="D66" i="2" s="1"/>
  <c r="C63" i="2"/>
  <c r="C66" i="2" s="1"/>
  <c r="B63" i="2"/>
  <c r="B66" i="2" s="1"/>
  <c r="B67" i="2" s="1"/>
  <c r="D67" i="2" s="1"/>
  <c r="F64" i="17"/>
  <c r="D64" i="2"/>
  <c r="D65" i="2" s="1"/>
  <c r="C64" i="2"/>
  <c r="C65" i="2" s="1"/>
  <c r="B64" i="2"/>
  <c r="B65" i="2" s="1"/>
  <c r="B36" i="2"/>
  <c r="B37" i="2" s="1"/>
  <c r="D53" i="2"/>
  <c r="C53" i="2"/>
  <c r="B53" i="2"/>
  <c r="B41" i="16"/>
  <c r="F56" i="17" s="1"/>
  <c r="F74" i="17"/>
  <c r="G74" i="17" s="1"/>
  <c r="F75" i="17"/>
  <c r="G75" i="17" s="1"/>
  <c r="F76" i="17"/>
  <c r="G76" i="17" s="1"/>
  <c r="F79" i="17"/>
  <c r="G79" i="17" s="1"/>
  <c r="F81" i="17"/>
  <c r="G81" i="17" s="1"/>
  <c r="F83" i="17"/>
  <c r="G83" i="17" s="1"/>
  <c r="G9" i="17"/>
  <c r="A30" i="2"/>
  <c r="A18" i="2"/>
  <c r="I37" i="20"/>
  <c r="I36" i="20"/>
  <c r="I31" i="20"/>
  <c r="I30" i="20"/>
  <c r="I25" i="20"/>
  <c r="I14" i="20"/>
  <c r="I12" i="20"/>
  <c r="F82" i="17"/>
  <c r="G82" i="17" s="1"/>
  <c r="F80" i="17"/>
  <c r="G80" i="17" s="1"/>
  <c r="K40" i="12"/>
  <c r="C36" i="2"/>
  <c r="C39" i="2" s="1"/>
  <c r="D36" i="2"/>
  <c r="E36" i="2"/>
  <c r="E39" i="2" s="1"/>
  <c r="D15" i="2"/>
  <c r="D16" i="2" s="1"/>
  <c r="D161" i="2"/>
  <c r="B161" i="2"/>
  <c r="D150" i="2"/>
  <c r="B150" i="2"/>
  <c r="B139" i="2"/>
  <c r="F126" i="2"/>
  <c r="D126" i="2"/>
  <c r="B126" i="2"/>
  <c r="D51" i="2"/>
  <c r="D52" i="2" s="1"/>
  <c r="C51" i="2"/>
  <c r="C52" i="2" s="1"/>
  <c r="B51" i="2"/>
  <c r="B52" i="2" s="1"/>
  <c r="Q44" i="2"/>
  <c r="P44" i="2"/>
  <c r="F8" i="17"/>
  <c r="G8" i="17" s="1"/>
  <c r="O86" i="17" s="1"/>
  <c r="C11" i="17"/>
  <c r="D12" i="17"/>
  <c r="D22" i="17"/>
  <c r="D24" i="17"/>
  <c r="D27" i="17"/>
  <c r="D26" i="17"/>
  <c r="D25" i="17"/>
  <c r="D15" i="17"/>
  <c r="D14" i="17"/>
  <c r="D13" i="17"/>
  <c r="D43" i="17"/>
  <c r="B25" i="16"/>
  <c r="D44" i="17"/>
  <c r="C23" i="16"/>
  <c r="C24" i="16" s="1"/>
  <c r="G44" i="17" s="1"/>
  <c r="D45" i="17"/>
  <c r="D23" i="16"/>
  <c r="D24" i="16" s="1"/>
  <c r="G45" i="17" s="1"/>
  <c r="D46" i="17"/>
  <c r="E25" i="16"/>
  <c r="J51" i="16"/>
  <c r="J49" i="16"/>
  <c r="I6" i="12"/>
  <c r="I7" i="12"/>
  <c r="E8" i="12"/>
  <c r="I9" i="12"/>
  <c r="L40" i="12"/>
  <c r="N40" i="12"/>
  <c r="O40" i="12"/>
  <c r="L46" i="12"/>
  <c r="N46" i="12"/>
  <c r="K46" i="12"/>
  <c r="O46" i="12"/>
  <c r="L26" i="12"/>
  <c r="K29" i="12" s="1"/>
  <c r="E14" i="12"/>
  <c r="B14" i="12"/>
  <c r="A14" i="12"/>
  <c r="D17" i="17"/>
  <c r="D29" i="17"/>
  <c r="F67" i="17"/>
  <c r="D16" i="17"/>
  <c r="D32" i="17"/>
  <c r="D31" i="17"/>
  <c r="D35" i="17"/>
  <c r="I8" i="12"/>
  <c r="F23" i="16"/>
  <c r="F24" i="16" s="1"/>
  <c r="G47" i="17" s="1"/>
  <c r="C47" i="16" l="1"/>
  <c r="D12" i="16"/>
  <c r="B42" i="16"/>
  <c r="F66" i="17"/>
  <c r="E37" i="2"/>
  <c r="F23" i="17" s="1"/>
  <c r="G23" i="17" s="1"/>
  <c r="D25" i="2"/>
  <c r="D26" i="2" s="1"/>
  <c r="D18" i="17"/>
  <c r="D30" i="17"/>
  <c r="D37" i="2"/>
  <c r="F22" i="17" s="1"/>
  <c r="G22" i="17" s="1"/>
  <c r="E40" i="2"/>
  <c r="F35" i="17"/>
  <c r="G35" i="17" s="1"/>
  <c r="E25" i="2"/>
  <c r="E26" i="2" s="1"/>
  <c r="C25" i="2"/>
  <c r="C26" i="2" s="1"/>
  <c r="G25" i="16"/>
  <c r="G26" i="16" s="1"/>
  <c r="G55" i="17" s="1"/>
  <c r="G62" i="17"/>
  <c r="E6" i="12"/>
  <c r="O92" i="17"/>
  <c r="E49" i="16"/>
  <c r="E13" i="2"/>
  <c r="E14" i="2" s="1"/>
  <c r="D19" i="17"/>
  <c r="C37" i="2"/>
  <c r="F21" i="17" s="1"/>
  <c r="G21" i="17" s="1"/>
  <c r="E7" i="12"/>
  <c r="D39" i="2"/>
  <c r="F34" i="17" s="1"/>
  <c r="G34" i="17" s="1"/>
  <c r="D21" i="17"/>
  <c r="D28" i="2"/>
  <c r="B15" i="2"/>
  <c r="F24" i="17" s="1"/>
  <c r="G24" i="17" s="1"/>
  <c r="B13" i="2"/>
  <c r="F12" i="17" s="1"/>
  <c r="G12" i="17" s="1"/>
  <c r="E23" i="16"/>
  <c r="F46" i="17" s="1"/>
  <c r="C25" i="16"/>
  <c r="C26" i="16" s="1"/>
  <c r="G51" i="17" s="1"/>
  <c r="F54" i="17"/>
  <c r="D25" i="16"/>
  <c r="B23" i="16"/>
  <c r="C13" i="2"/>
  <c r="C14" i="2" s="1"/>
  <c r="F19" i="17"/>
  <c r="G19" i="17" s="1"/>
  <c r="M48" i="12"/>
  <c r="M41" i="12"/>
  <c r="F26" i="17"/>
  <c r="G26" i="17" s="1"/>
  <c r="B39" i="2"/>
  <c r="B40" i="2" s="1"/>
  <c r="B25" i="2"/>
  <c r="B26" i="2" s="1"/>
  <c r="D14" i="2"/>
  <c r="M47" i="12"/>
  <c r="B48" i="12" s="1"/>
  <c r="M42" i="12"/>
  <c r="E38" i="2"/>
  <c r="E9" i="12"/>
  <c r="J6" i="12"/>
  <c r="F48" i="17"/>
  <c r="G24" i="16"/>
  <c r="G48" i="17" s="1"/>
  <c r="F55" i="17"/>
  <c r="E26" i="16"/>
  <c r="G53" i="17" s="1"/>
  <c r="F53" i="17"/>
  <c r="F45" i="17"/>
  <c r="F50" i="17"/>
  <c r="B26" i="16"/>
  <c r="G50" i="17" s="1"/>
  <c r="F47" i="17"/>
  <c r="F44" i="17"/>
  <c r="B54" i="2"/>
  <c r="F38" i="17" s="1"/>
  <c r="G38" i="17" s="1"/>
  <c r="I15" i="17" s="1"/>
  <c r="F36" i="17"/>
  <c r="G36" i="17" s="1"/>
  <c r="I14" i="17" s="1"/>
  <c r="F33" i="17"/>
  <c r="G33" i="17" s="1"/>
  <c r="C40" i="2"/>
  <c r="F20" i="17"/>
  <c r="G20" i="17" s="1"/>
  <c r="B38" i="2"/>
  <c r="F31" i="17"/>
  <c r="G31" i="17" s="1"/>
  <c r="E28" i="2"/>
  <c r="F18" i="17"/>
  <c r="G18" i="17" s="1"/>
  <c r="F29" i="17"/>
  <c r="G29" i="17" s="1"/>
  <c r="C28" i="2"/>
  <c r="B28" i="2"/>
  <c r="F28" i="17"/>
  <c r="G28" i="17" s="1"/>
  <c r="E16" i="2"/>
  <c r="F27" i="17"/>
  <c r="G27" i="17" s="1"/>
  <c r="C16" i="2"/>
  <c r="I14" i="21"/>
  <c r="J14" i="21" s="1"/>
  <c r="I15" i="21"/>
  <c r="J15" i="21" s="1"/>
  <c r="I34" i="21"/>
  <c r="J34" i="21" s="1"/>
  <c r="I37" i="21"/>
  <c r="J37" i="21" s="1"/>
  <c r="I44" i="21"/>
  <c r="J44" i="21" s="1"/>
  <c r="I60" i="21"/>
  <c r="J60" i="21" s="1"/>
  <c r="I49" i="21"/>
  <c r="J49" i="21" s="1"/>
  <c r="I18" i="21"/>
  <c r="J18" i="21" s="1"/>
  <c r="I36" i="21"/>
  <c r="J36" i="21" s="1"/>
  <c r="I22" i="21"/>
  <c r="J22" i="21" s="1"/>
  <c r="I66" i="21"/>
  <c r="J66" i="21" s="1"/>
  <c r="I41" i="21"/>
  <c r="J41" i="21" s="1"/>
  <c r="I19" i="21"/>
  <c r="J19" i="21" s="1"/>
  <c r="I43" i="21"/>
  <c r="J43" i="21" s="1"/>
  <c r="I42" i="21"/>
  <c r="J42" i="21" s="1"/>
  <c r="I58" i="21"/>
  <c r="J58" i="21" s="1"/>
  <c r="I62" i="21"/>
  <c r="J62" i="21" s="1"/>
  <c r="I55" i="21"/>
  <c r="J55" i="21" s="1"/>
  <c r="I23" i="21"/>
  <c r="J23" i="21" s="1"/>
  <c r="I52" i="21"/>
  <c r="J52" i="21" s="1"/>
  <c r="I70" i="21"/>
  <c r="J70" i="21" s="1"/>
  <c r="I67" i="21"/>
  <c r="J67" i="21" s="1"/>
  <c r="I35" i="21"/>
  <c r="J35" i="21" s="1"/>
  <c r="I11" i="21"/>
  <c r="J11" i="21" s="1"/>
  <c r="I24" i="21"/>
  <c r="J24" i="21" s="1"/>
  <c r="I21" i="21"/>
  <c r="J21" i="21" s="1"/>
  <c r="I27" i="21"/>
  <c r="J27" i="21" s="1"/>
  <c r="I29" i="21"/>
  <c r="J29" i="21" s="1"/>
  <c r="I28" i="21"/>
  <c r="J28" i="21" s="1"/>
  <c r="I57" i="21"/>
  <c r="J57" i="21" s="1"/>
  <c r="I20" i="21"/>
  <c r="J20" i="21" s="1"/>
  <c r="I47" i="21"/>
  <c r="J47" i="21" s="1"/>
  <c r="I10" i="21"/>
  <c r="J10" i="21" s="1"/>
  <c r="I65" i="21"/>
  <c r="J65" i="21" s="1"/>
  <c r="I46" i="21"/>
  <c r="J46" i="21" s="1"/>
  <c r="I32" i="21"/>
  <c r="J32" i="21" s="1"/>
  <c r="I40" i="21"/>
  <c r="J40" i="21" s="1"/>
  <c r="I53" i="21"/>
  <c r="J53" i="21" s="1"/>
  <c r="I54" i="21"/>
  <c r="J54" i="21" s="1"/>
  <c r="I61" i="21"/>
  <c r="J61" i="21" s="1"/>
  <c r="I33" i="21"/>
  <c r="J33" i="21" s="1"/>
  <c r="I45" i="21"/>
  <c r="J45" i="21" s="1"/>
  <c r="I68" i="21"/>
  <c r="J68" i="21" s="1"/>
  <c r="I48" i="21"/>
  <c r="J48" i="21" s="1"/>
  <c r="I56" i="21"/>
  <c r="J56" i="21" s="1"/>
  <c r="I64" i="21"/>
  <c r="J64" i="21" s="1"/>
  <c r="I51" i="21"/>
  <c r="J51" i="21" s="1"/>
  <c r="I69" i="21"/>
  <c r="J69" i="21" s="1"/>
  <c r="I39" i="21"/>
  <c r="J39" i="21" s="1"/>
  <c r="I16" i="21"/>
  <c r="J16" i="21" s="1"/>
  <c r="I12" i="21"/>
  <c r="J12" i="21" s="1"/>
  <c r="I50" i="21"/>
  <c r="J50" i="21" s="1"/>
  <c r="I38" i="21"/>
  <c r="J38" i="21" s="1"/>
  <c r="I31" i="21"/>
  <c r="J31" i="21" s="1"/>
  <c r="I9" i="21"/>
  <c r="J9" i="21" s="1"/>
  <c r="I59" i="21"/>
  <c r="J59" i="21" s="1"/>
  <c r="I63" i="21"/>
  <c r="J63" i="21" s="1"/>
  <c r="I13" i="21"/>
  <c r="J13" i="21" s="1"/>
  <c r="I17" i="21"/>
  <c r="J17" i="21" s="1"/>
  <c r="I25" i="21"/>
  <c r="J25" i="21" s="1"/>
  <c r="I26" i="21"/>
  <c r="J26" i="21" s="1"/>
  <c r="I30" i="21"/>
  <c r="J30" i="21" s="1"/>
  <c r="B41" i="12" l="1"/>
  <c r="F68" i="17"/>
  <c r="I24" i="17" s="1"/>
  <c r="B51" i="16"/>
  <c r="B50" i="16"/>
  <c r="F40" i="17"/>
  <c r="C116" i="24"/>
  <c r="F49" i="16"/>
  <c r="I49" i="16"/>
  <c r="L49" i="16" s="1"/>
  <c r="D38" i="2"/>
  <c r="F15" i="17"/>
  <c r="G15" i="17" s="1"/>
  <c r="B14" i="2"/>
  <c r="D40" i="2"/>
  <c r="F32" i="17"/>
  <c r="G32" i="17" s="1"/>
  <c r="F17" i="17"/>
  <c r="G17" i="17" s="1"/>
  <c r="D54" i="2"/>
  <c r="F13" i="17"/>
  <c r="G13" i="17" s="1"/>
  <c r="C38" i="2"/>
  <c r="I51" i="16"/>
  <c r="L50" i="16" s="1"/>
  <c r="F16" i="17"/>
  <c r="G16" i="17" s="1"/>
  <c r="E24" i="16"/>
  <c r="G46" i="17" s="1"/>
  <c r="B16" i="2"/>
  <c r="F51" i="17"/>
  <c r="F69" i="17"/>
  <c r="I25" i="17" s="1"/>
  <c r="D26" i="16"/>
  <c r="G52" i="17" s="1"/>
  <c r="I18" i="17" s="1"/>
  <c r="F52" i="17"/>
  <c r="B24" i="16"/>
  <c r="G43" i="17" s="1"/>
  <c r="F43" i="17"/>
  <c r="I13" i="17"/>
  <c r="I17" i="17" l="1"/>
  <c r="O93" i="17"/>
  <c r="L51" i="16"/>
  <c r="I12" i="17"/>
  <c r="E51" i="16"/>
  <c r="F60" i="17" s="1"/>
  <c r="G60" i="17" l="1"/>
  <c r="O94" i="17" s="1"/>
  <c r="I19" i="17" l="1"/>
  <c r="D55" i="12"/>
  <c r="D57" i="12"/>
  <c r="F55" i="12"/>
  <c r="I20" i="17" s="1"/>
  <c r="D58" i="12"/>
  <c r="D56" i="12" l="1"/>
</calcChain>
</file>

<file path=xl/comments1.xml><?xml version="1.0" encoding="utf-8"?>
<comments xmlns="http://schemas.openxmlformats.org/spreadsheetml/2006/main">
  <authors>
    <author>GABRIEL</author>
    <author>Bruna Grechi</author>
    <author>Renato</author>
    <author>Gabriel Nascimento</author>
    <author>Fernanda</author>
    <author>Servidor</author>
  </authors>
  <commentList>
    <comment ref="B17" authorId="0">
      <text>
        <r>
          <rPr>
            <b/>
            <sz val="14"/>
            <color indexed="81"/>
            <rFont val="Tahoma"/>
            <family val="2"/>
          </rPr>
          <t xml:space="preserve">GABRIEL:
</t>
        </r>
        <r>
          <rPr>
            <sz val="14"/>
            <color indexed="81"/>
            <rFont val="Tahoma"/>
            <family val="2"/>
          </rPr>
          <t>Padronizar o texto do Ponto Focal como:
"fino - grosso mm".
(Com apenas um traço entre os pontos focais)
Ex.: "0,6 - 1,2 mm"
Desta forma, os tamanhos de ponto focal serão completados automaticamente na planilha "Testes Mec."</t>
        </r>
      </text>
    </comment>
    <comment ref="A30" authorId="1">
      <text>
        <r>
          <rPr>
            <b/>
            <sz val="9"/>
            <color indexed="81"/>
            <rFont val="Tahoma"/>
            <family val="2"/>
          </rPr>
          <t xml:space="preserve">Bruna Grechi: 
</t>
        </r>
        <r>
          <rPr>
            <sz val="9"/>
            <color indexed="81"/>
            <rFont val="Tahoma"/>
            <family val="2"/>
          </rPr>
          <t>Não aplicável para Rx Port. e Arco</t>
        </r>
      </text>
    </comment>
    <comment ref="A31" authorId="2">
      <text>
        <r>
          <rPr>
            <b/>
            <sz val="10"/>
            <color indexed="81"/>
            <rFont val="Tahoma"/>
            <family val="2"/>
          </rPr>
          <t>FRP:</t>
        </r>
        <r>
          <rPr>
            <sz val="10"/>
            <color indexed="81"/>
            <rFont val="Tahoma"/>
            <family val="2"/>
          </rPr>
          <t xml:space="preserve">
d) Sinalização luminosa vermelha acima da face externa da porta de acesso, acompanhada do seguinte aviso de advertência: "Quando a luz vermelha estiver acesa, a entrada é proibida". A sinalização luminosa deve ser acionada durante os procedimentos radiológicos indicando que o gerador está ligado e que pode haver exposição. Alternativamente, pode ser adotado um sistema de acionamento automático da sinalização luminosa, diretamente conectado ao mecanismo de disparo dos raios-x.</t>
        </r>
      </text>
    </comment>
    <comment ref="A32" authorId="2">
      <text>
        <r>
          <rPr>
            <b/>
            <sz val="8"/>
            <color indexed="81"/>
            <rFont val="Tahoma"/>
            <family val="2"/>
          </rPr>
          <t>FRP:</t>
        </r>
        <r>
          <rPr>
            <sz val="8"/>
            <color indexed="81"/>
            <rFont val="Tahoma"/>
            <family val="2"/>
          </rPr>
          <t xml:space="preserve">
</t>
        </r>
        <r>
          <rPr>
            <sz val="10"/>
            <color indexed="81"/>
            <rFont val="Tahoma"/>
            <family val="2"/>
          </rPr>
          <t>c) Sinalização visível na face exterior das portas de acesso, contendo o símbolo internacional da radiação ionizante acompanhado das inscrições: "raios-x, entrada restrita" ou "raios-x, entrada proibida a pessoas não autorizadas".</t>
        </r>
      </text>
    </comment>
    <comment ref="A35" authorId="2">
      <text>
        <r>
          <rPr>
            <b/>
            <sz val="8"/>
            <color indexed="81"/>
            <rFont val="Tahoma"/>
            <family val="2"/>
          </rPr>
          <t xml:space="preserve">FRP: </t>
        </r>
        <r>
          <rPr>
            <sz val="8"/>
            <color indexed="81"/>
            <rFont val="Tahoma"/>
            <family val="2"/>
          </rPr>
          <t xml:space="preserve">
</t>
        </r>
        <r>
          <rPr>
            <sz val="10"/>
            <color indexed="81"/>
            <rFont val="Tahoma"/>
            <family val="2"/>
          </rPr>
          <t>4.4 Junto ao painel de controle de cada equipamento de raios-x deve ser mantido um protocolo de técnicas radiográficas (tabela de exposição) especificando, para cada exame realizado no equipamento, as seguintes informações:
a) Tipo de exame (espessuras e partes anatômicas do paciente) e respectivos fatores de técnica radiográfica.
b) Quando aplicável, parâmetros para o controle automático de exposição.
c) Tamanho e tipo da combinação tela-filme.
d) Distância foco-filme.
e) Tipo e posicionamento da blindagem a ser usada no paciente.</t>
        </r>
        <r>
          <rPr>
            <sz val="8"/>
            <color indexed="81"/>
            <rFont val="Tahoma"/>
            <family val="2"/>
          </rPr>
          <t xml:space="preserve">
</t>
        </r>
      </text>
    </comment>
    <comment ref="A36" authorId="1">
      <text>
        <r>
          <rPr>
            <b/>
            <sz val="9"/>
            <color indexed="81"/>
            <rFont val="Tahoma"/>
            <family val="2"/>
          </rPr>
          <t xml:space="preserve">Bruna Grechi: 
</t>
        </r>
        <r>
          <rPr>
            <sz val="9"/>
            <color indexed="81"/>
            <rFont val="Tahoma"/>
            <family val="2"/>
          </rPr>
          <t>Não aplicável para Rx Port. e Arco</t>
        </r>
      </text>
    </comment>
    <comment ref="A38" authorId="1">
      <text>
        <r>
          <rPr>
            <b/>
            <sz val="9"/>
            <color indexed="81"/>
            <rFont val="Tahoma"/>
            <family val="2"/>
          </rPr>
          <t xml:space="preserve">Bruna Grechi: 
</t>
        </r>
        <r>
          <rPr>
            <sz val="9"/>
            <color indexed="81"/>
            <rFont val="Tahoma"/>
            <family val="2"/>
          </rPr>
          <t>Não aplicável para Rx Port. e Arco</t>
        </r>
      </text>
    </comment>
    <comment ref="A44" authorId="1">
      <text>
        <r>
          <rPr>
            <b/>
            <sz val="9"/>
            <color indexed="81"/>
            <rFont val="Tahoma"/>
            <family val="2"/>
          </rPr>
          <t>Bruna Grechi:</t>
        </r>
        <r>
          <rPr>
            <sz val="9"/>
            <color indexed="81"/>
            <rFont val="Tahoma"/>
            <family val="2"/>
          </rPr>
          <t xml:space="preserve">
N/A para Tele e Arco</t>
        </r>
      </text>
    </comment>
    <comment ref="A45" authorId="1">
      <text>
        <r>
          <rPr>
            <b/>
            <sz val="9"/>
            <color indexed="81"/>
            <rFont val="Tahoma"/>
            <family val="2"/>
          </rPr>
          <t>Bruna Grechi:</t>
        </r>
        <r>
          <rPr>
            <sz val="9"/>
            <color indexed="81"/>
            <rFont val="Tahoma"/>
            <family val="2"/>
          </rPr>
          <t xml:space="preserve">
N/A para Tele e Arco</t>
        </r>
      </text>
    </comment>
    <comment ref="C84" authorId="3">
      <text>
        <r>
          <rPr>
            <b/>
            <sz val="12"/>
            <color indexed="81"/>
            <rFont val="Segoe UI"/>
            <family val="2"/>
          </rPr>
          <t>Gabriel Nascimento:</t>
        </r>
        <r>
          <rPr>
            <sz val="12"/>
            <color indexed="81"/>
            <rFont val="Segoe UI"/>
            <family val="2"/>
          </rPr>
          <t xml:space="preserve">
Preencher as células azul claro para os casos que possui mA conjugado.</t>
        </r>
      </text>
    </comment>
    <comment ref="E88" authorId="1">
      <text>
        <r>
          <rPr>
            <b/>
            <sz val="13"/>
            <color indexed="81"/>
            <rFont val="Tahoma"/>
            <family val="2"/>
          </rPr>
          <t xml:space="preserve">Células Azul Escuro </t>
        </r>
        <r>
          <rPr>
            <sz val="13"/>
            <color indexed="81"/>
            <rFont val="Tahoma"/>
            <family val="2"/>
          </rPr>
          <t xml:space="preserve"> São preenchidas automaticamente ao utilizar os botões.</t>
        </r>
        <r>
          <rPr>
            <sz val="9"/>
            <color indexed="81"/>
            <rFont val="Tahoma"/>
            <family val="2"/>
          </rPr>
          <t xml:space="preserve">
</t>
        </r>
      </text>
    </comment>
    <comment ref="B159" authorId="4">
      <text>
        <r>
          <rPr>
            <b/>
            <sz val="8"/>
            <color indexed="81"/>
            <rFont val="Tahoma"/>
            <family val="2"/>
          </rPr>
          <t xml:space="preserve">Fernanda: referência do fabricante da ferramenta     
</t>
        </r>
        <r>
          <rPr>
            <b/>
            <sz val="12"/>
            <color indexed="81"/>
            <rFont val="Tahoma"/>
            <family val="2"/>
          </rPr>
          <t xml:space="preserve">PARA PONTO FOCAL &gt; 0,6 MAGNIFICAÇÃO DE 4/3 = DISTÂNCIA PONTO FOCAL ATÉ A  MESA 61CM.
grupo   p/mm      focal
                          spot
</t>
        </r>
        <r>
          <rPr>
            <sz val="12"/>
            <color indexed="81"/>
            <rFont val="Tahoma"/>
            <family val="2"/>
          </rPr>
          <t xml:space="preserve">1              0,84                4,3
2              1,00                3,7
3              1,19                3,1
4              1,41                2,6   
5              1,68                2,2  
6              2,00                1,8
7              2,38                1,5  
8              2,83                1,3
9              3,36                1,1 
10            4,00                0,9
11            4,76                0,8
12            5,66                0,7
</t>
        </r>
        <r>
          <rPr>
            <b/>
            <sz val="12"/>
            <color indexed="81"/>
            <rFont val="Tahoma"/>
            <family val="2"/>
          </rPr>
          <t xml:space="preserve">PARA PONTO FOCAL &lt; 0,6 MAGNIFICAÇÃO DE 1,87 = DISTÂNCIA FOCO FILME DE 86CM.
DISTÂNCIA DA FERRAMENTA ATÉ O FILME 25 CM.
</t>
        </r>
        <r>
          <rPr>
            <b/>
            <sz val="8"/>
            <color indexed="81"/>
            <rFont val="Tahoma"/>
            <family val="2"/>
          </rPr>
          <t xml:space="preserve">
</t>
        </r>
        <r>
          <rPr>
            <sz val="8"/>
            <color indexed="81"/>
            <rFont val="Tahoma"/>
            <family val="2"/>
          </rPr>
          <t xml:space="preserve">
</t>
        </r>
      </text>
    </comment>
    <comment ref="C159" authorId="5">
      <text>
        <r>
          <rPr>
            <b/>
            <sz val="12"/>
            <color indexed="81"/>
            <rFont val="Tahoma"/>
            <family val="2"/>
          </rPr>
          <t>FRP:</t>
        </r>
        <r>
          <rPr>
            <sz val="12"/>
            <color indexed="81"/>
            <rFont val="Tahoma"/>
            <family val="2"/>
          </rPr>
          <t xml:space="preserve">
FERRAMENTA DA MRA
GRUPO   ---- PONTO FOCAL
1 ----3,4mm
2 --- 2,9
3 --- 2,4
4 --- 2,0
5 --- 1,7
6 --- 1,4
7 --- 1,2
8 --- 1,0
9 --- 0,8
10 -- 0,7
11 --- 0,6</t>
        </r>
      </text>
    </comment>
    <comment ref="D169" authorId="4">
      <text>
        <r>
          <rPr>
            <b/>
            <sz val="8"/>
            <color indexed="81"/>
            <rFont val="Tahoma"/>
            <family val="2"/>
          </rPr>
          <t>Fernanda:</t>
        </r>
        <r>
          <rPr>
            <sz val="8"/>
            <color indexed="81"/>
            <rFont val="Tahoma"/>
            <family val="2"/>
          </rPr>
          <t xml:space="preserve">
A D.O DEVE ESTAR ENTRE 1 E 2</t>
        </r>
      </text>
    </comment>
    <comment ref="D172" authorId="4">
      <text>
        <r>
          <rPr>
            <b/>
            <sz val="8"/>
            <color indexed="81"/>
            <rFont val="Tahoma"/>
            <family val="2"/>
          </rPr>
          <t>Fernanda:</t>
        </r>
        <r>
          <rPr>
            <sz val="8"/>
            <color indexed="81"/>
            <rFont val="Tahoma"/>
            <family val="2"/>
          </rPr>
          <t xml:space="preserve">
A D.O DEVE ESTAR ENTRE 1 E 2</t>
        </r>
      </text>
    </comment>
    <comment ref="F179" authorId="1">
      <text>
        <r>
          <rPr>
            <b/>
            <sz val="10"/>
            <color indexed="81"/>
            <rFont val="Tahoma"/>
            <family val="2"/>
          </rPr>
          <t>Bruna Grechi:</t>
        </r>
        <r>
          <rPr>
            <sz val="10"/>
            <color indexed="81"/>
            <rFont val="Tahoma"/>
            <family val="2"/>
          </rPr>
          <t xml:space="preserve">
Em função da tipo de processamento (velocidade da receptor de imagem)</t>
        </r>
      </text>
    </comment>
    <comment ref="A190" authorId="1">
      <text>
        <r>
          <rPr>
            <b/>
            <sz val="15"/>
            <color indexed="81"/>
            <rFont val="Tahoma"/>
            <family val="2"/>
          </rPr>
          <t>Bruna Grechi:</t>
        </r>
        <r>
          <rPr>
            <b/>
            <sz val="9"/>
            <color indexed="81"/>
            <rFont val="Tahoma"/>
            <family val="2"/>
          </rPr>
          <t xml:space="preserve">
</t>
        </r>
        <r>
          <rPr>
            <sz val="12"/>
            <color indexed="81"/>
            <rFont val="Tahoma"/>
            <family val="2"/>
          </rPr>
          <t>Preencha apenas para RX Portátil</t>
        </r>
      </text>
    </comment>
  </commentList>
</comments>
</file>

<file path=xl/comments2.xml><?xml version="1.0" encoding="utf-8"?>
<comments xmlns="http://schemas.openxmlformats.org/spreadsheetml/2006/main">
  <authors>
    <author>GABRIEL</author>
  </authors>
  <commentList>
    <comment ref="F14" authorId="0">
      <text>
        <r>
          <rPr>
            <b/>
            <u/>
            <sz val="18"/>
            <color indexed="81"/>
            <rFont val="Tahoma"/>
            <family val="2"/>
          </rPr>
          <t xml:space="preserve">ATENÇÃO!
</t>
        </r>
        <r>
          <rPr>
            <sz val="18"/>
            <color indexed="81"/>
            <rFont val="Tahoma"/>
            <family val="2"/>
          </rPr>
          <t xml:space="preserve">1) NÃO INSERIR OU EXCLUIR LINHAS! Se necessário, mude o tamanho da linha, e utilize "Quebrar Texto Automaticamente".
2) </t>
        </r>
        <r>
          <rPr>
            <b/>
            <i/>
            <sz val="18"/>
            <color indexed="81"/>
            <rFont val="Tahoma"/>
            <family val="2"/>
          </rPr>
          <t>NÃO MESCLAR CÉLULAS!</t>
        </r>
      </text>
    </comment>
    <comment ref="F18" authorId="0">
      <text>
        <r>
          <rPr>
            <b/>
            <sz val="14"/>
            <color indexed="81"/>
            <rFont val="Tahoma"/>
            <family val="2"/>
          </rPr>
          <t>Células em vermelho:</t>
        </r>
        <r>
          <rPr>
            <sz val="14"/>
            <color indexed="81"/>
            <rFont val="Tahoma"/>
            <family val="2"/>
          </rPr>
          <t xml:space="preserve"> Preenchimento Obrigatório
</t>
        </r>
        <r>
          <rPr>
            <b/>
            <sz val="14"/>
            <color indexed="81"/>
            <rFont val="Tahoma"/>
            <family val="2"/>
          </rPr>
          <t>Células em azul marinho:</t>
        </r>
        <r>
          <rPr>
            <sz val="14"/>
            <color indexed="81"/>
            <rFont val="Tahoma"/>
            <family val="2"/>
          </rPr>
          <t xml:space="preserve"> São preenchidas automaticamente ao utilizar os botões.</t>
        </r>
      </text>
    </comment>
    <comment ref="D28" authorId="0">
      <text>
        <r>
          <rPr>
            <b/>
            <sz val="14"/>
            <color indexed="81"/>
            <rFont val="Tahoma"/>
            <family val="2"/>
          </rPr>
          <t xml:space="preserve">GABRIEL:
</t>
        </r>
        <r>
          <rPr>
            <sz val="14"/>
            <color indexed="81"/>
            <rFont val="Tahoma"/>
            <family val="2"/>
          </rPr>
          <t>Padronizar o texto do Ponto Focal como:
"fino - grosso mm".
(Com apenas um traço entre os pontos focais)
Ex.: "0,6 - 1,2 mm"
Desta forma, os tamanhos de ponto focal serão completados automaticamente na planilha "Testes Mec."</t>
        </r>
      </text>
    </comment>
    <comment ref="C40" authorId="0">
      <text>
        <r>
          <rPr>
            <b/>
            <sz val="14"/>
            <color indexed="81"/>
            <rFont val="Tahoma"/>
            <family val="2"/>
          </rPr>
          <t>GABRIEL:</t>
        </r>
        <r>
          <rPr>
            <sz val="14"/>
            <color indexed="81"/>
            <rFont val="Tahoma"/>
            <family val="2"/>
          </rPr>
          <t xml:space="preserve">
Alterar após terminar a digitação do laudo.</t>
        </r>
      </text>
    </comment>
  </commentList>
</comments>
</file>

<file path=xl/comments3.xml><?xml version="1.0" encoding="utf-8"?>
<comments xmlns="http://schemas.openxmlformats.org/spreadsheetml/2006/main">
  <authors>
    <author>GABRIEL</author>
    <author>Fernanda</author>
  </authors>
  <commentList>
    <comment ref="I22" authorId="0">
      <text>
        <r>
          <rPr>
            <b/>
            <sz val="14"/>
            <color indexed="81"/>
            <rFont val="Tahoma"/>
            <family val="2"/>
          </rPr>
          <t xml:space="preserve">Células em azul marinho: </t>
        </r>
        <r>
          <rPr>
            <sz val="14"/>
            <color indexed="81"/>
            <rFont val="Tahoma"/>
            <family val="2"/>
          </rPr>
          <t>São preenchidas automaticamente ao utilizar os botões.</t>
        </r>
      </text>
    </comment>
    <comment ref="A121" authorId="1">
      <text>
        <r>
          <rPr>
            <b/>
            <sz val="8"/>
            <color indexed="81"/>
            <rFont val="Tahoma"/>
            <family val="2"/>
          </rPr>
          <t>Fernanda:</t>
        </r>
        <r>
          <rPr>
            <sz val="8"/>
            <color indexed="81"/>
            <rFont val="Tahoma"/>
            <family val="2"/>
          </rPr>
          <t xml:space="preserve">
mR/h
</t>
        </r>
      </text>
    </comment>
    <comment ref="K126" authorId="1">
      <text>
        <r>
          <rPr>
            <b/>
            <sz val="8"/>
            <color indexed="81"/>
            <rFont val="Tahoma"/>
            <family val="2"/>
          </rPr>
          <t>Fernanda:</t>
        </r>
        <r>
          <rPr>
            <sz val="8"/>
            <color indexed="81"/>
            <rFont val="Tahoma"/>
            <family val="2"/>
          </rPr>
          <t xml:space="preserve">
mR/h
</t>
        </r>
      </text>
    </comment>
    <comment ref="A134" authorId="1">
      <text>
        <r>
          <rPr>
            <b/>
            <sz val="8"/>
            <color indexed="81"/>
            <rFont val="Tahoma"/>
            <family val="2"/>
          </rPr>
          <t>Fernanda:</t>
        </r>
        <r>
          <rPr>
            <sz val="8"/>
            <color indexed="81"/>
            <rFont val="Tahoma"/>
            <family val="2"/>
          </rPr>
          <t xml:space="preserve">
mR/h
</t>
        </r>
      </text>
    </comment>
    <comment ref="A145" authorId="1">
      <text>
        <r>
          <rPr>
            <b/>
            <sz val="8"/>
            <color indexed="81"/>
            <rFont val="Tahoma"/>
            <family val="2"/>
          </rPr>
          <t>Fernanda:</t>
        </r>
        <r>
          <rPr>
            <sz val="8"/>
            <color indexed="81"/>
            <rFont val="Tahoma"/>
            <family val="2"/>
          </rPr>
          <t xml:space="preserve">
mR/h
</t>
        </r>
      </text>
    </comment>
    <comment ref="A156" authorId="1">
      <text>
        <r>
          <rPr>
            <b/>
            <sz val="8"/>
            <color indexed="81"/>
            <rFont val="Tahoma"/>
            <family val="2"/>
          </rPr>
          <t>Fernanda:</t>
        </r>
        <r>
          <rPr>
            <sz val="8"/>
            <color indexed="81"/>
            <rFont val="Tahoma"/>
            <family val="2"/>
          </rPr>
          <t xml:space="preserve">
mR/h
</t>
        </r>
      </text>
    </comment>
  </commentList>
</comments>
</file>

<file path=xl/comments4.xml><?xml version="1.0" encoding="utf-8"?>
<comments xmlns="http://schemas.openxmlformats.org/spreadsheetml/2006/main">
  <authors>
    <author>Fernanda</author>
    <author>Breno Comazzetto</author>
    <author>GABRIEL</author>
  </authors>
  <commentList>
    <comment ref="D8" authorId="0">
      <text>
        <r>
          <rPr>
            <b/>
            <sz val="8"/>
            <color indexed="81"/>
            <rFont val="Tahoma"/>
            <family val="2"/>
          </rPr>
          <t>Fernanda:</t>
        </r>
        <r>
          <rPr>
            <sz val="8"/>
            <color indexed="81"/>
            <rFont val="Tahoma"/>
            <family val="2"/>
          </rPr>
          <t xml:space="preserve">
fator de correção para temperatura e pressão</t>
        </r>
      </text>
    </comment>
    <comment ref="D12" authorId="1">
      <text>
        <r>
          <rPr>
            <b/>
            <sz val="9"/>
            <color indexed="81"/>
            <rFont val="Tahoma"/>
            <charset val="1"/>
          </rPr>
          <t>ABMF Documento 6
Os valores de referência para rendimento mudaram.</t>
        </r>
      </text>
    </comment>
    <comment ref="I16" authorId="2">
      <text>
        <r>
          <rPr>
            <b/>
            <sz val="14"/>
            <color indexed="81"/>
            <rFont val="Tahoma"/>
            <family val="2"/>
          </rPr>
          <t xml:space="preserve">Células em azul marinho: </t>
        </r>
        <r>
          <rPr>
            <sz val="14"/>
            <color indexed="81"/>
            <rFont val="Tahoma"/>
            <family val="2"/>
          </rPr>
          <t>São preenchidas automaticamente ao utilizar os botões.</t>
        </r>
        <r>
          <rPr>
            <sz val="9"/>
            <color indexed="81"/>
            <rFont val="Tahoma"/>
            <family val="2"/>
          </rPr>
          <t xml:space="preserve">
</t>
        </r>
      </text>
    </comment>
    <comment ref="I48" authorId="0">
      <text>
        <r>
          <rPr>
            <b/>
            <sz val="8"/>
            <color indexed="81"/>
            <rFont val="Tahoma"/>
            <family val="2"/>
          </rPr>
          <t>Fernanda:</t>
        </r>
        <r>
          <rPr>
            <sz val="8"/>
            <color indexed="81"/>
            <rFont val="Tahoma"/>
            <family val="2"/>
          </rPr>
          <t xml:space="preserve">
LEITURA DE EXPOSIÇÃO IMEDIATAMENTE SUPERIOR A L0/2</t>
        </r>
      </text>
    </comment>
    <comment ref="J48" authorId="0">
      <text>
        <r>
          <rPr>
            <b/>
            <sz val="8"/>
            <color indexed="81"/>
            <rFont val="Tahoma"/>
            <family val="2"/>
          </rPr>
          <t>Fernanda:</t>
        </r>
        <r>
          <rPr>
            <sz val="8"/>
            <color indexed="81"/>
            <rFont val="Tahoma"/>
            <family val="2"/>
          </rPr>
          <t xml:space="preserve">
ESPESSURA DE ALUMÍNIO CORRESPONDENTE A La</t>
        </r>
      </text>
    </comment>
    <comment ref="E49" authorId="0">
      <text>
        <r>
          <rPr>
            <b/>
            <sz val="8"/>
            <color indexed="81"/>
            <rFont val="Tahoma"/>
            <family val="2"/>
          </rPr>
          <t>Fernanda:</t>
        </r>
        <r>
          <rPr>
            <sz val="8"/>
            <color indexed="81"/>
            <rFont val="Tahoma"/>
            <family val="2"/>
          </rPr>
          <t xml:space="preserve">
MÉDIA DAS EXPOSIÇÕES SEM ATENUAÇÃO
</t>
        </r>
      </text>
    </comment>
    <comment ref="I50" authorId="0">
      <text>
        <r>
          <rPr>
            <b/>
            <sz val="8"/>
            <color indexed="81"/>
            <rFont val="Tahoma"/>
            <family val="2"/>
          </rPr>
          <t>Fernanda:</t>
        </r>
        <r>
          <rPr>
            <sz val="8"/>
            <color indexed="81"/>
            <rFont val="Tahoma"/>
            <family val="2"/>
          </rPr>
          <t xml:space="preserve">
LEITURA  DE EXPOSIÇÃO IMEDIATAMENTE INFERIOR A L0/2
</t>
        </r>
      </text>
    </comment>
    <comment ref="J50" authorId="0">
      <text>
        <r>
          <rPr>
            <b/>
            <sz val="8"/>
            <color indexed="81"/>
            <rFont val="Tahoma"/>
            <family val="2"/>
          </rPr>
          <t>Fernanda:</t>
        </r>
        <r>
          <rPr>
            <sz val="8"/>
            <color indexed="81"/>
            <rFont val="Tahoma"/>
            <family val="2"/>
          </rPr>
          <t xml:space="preserve">
ESPESSURA DE ALUMÍNIO CORRESPONDENTE A Lb</t>
        </r>
      </text>
    </comment>
  </commentList>
</comments>
</file>

<file path=xl/comments5.xml><?xml version="1.0" encoding="utf-8"?>
<comments xmlns="http://schemas.openxmlformats.org/spreadsheetml/2006/main">
  <authors>
    <author>Fernanda</author>
    <author>Servidor</author>
  </authors>
  <commentList>
    <comment ref="B19" authorId="0">
      <text>
        <r>
          <rPr>
            <b/>
            <sz val="8"/>
            <color indexed="81"/>
            <rFont val="Tahoma"/>
            <family val="2"/>
          </rPr>
          <t xml:space="preserve">Fernanda: referência do fabricante da ferramenta     
</t>
        </r>
        <r>
          <rPr>
            <b/>
            <sz val="12"/>
            <color indexed="81"/>
            <rFont val="Tahoma"/>
            <family val="2"/>
          </rPr>
          <t xml:space="preserve">PARA PONTO FOCAL &gt; 0,6 MAGNIFICAÇÃO DE 4/3 = DISTÂNCIA PONTO FOCAL ATÉ A  MESA 61CM.
grupo   p/mm      focal
                          spot
</t>
        </r>
        <r>
          <rPr>
            <sz val="12"/>
            <color indexed="81"/>
            <rFont val="Tahoma"/>
            <family val="2"/>
          </rPr>
          <t xml:space="preserve">1              0,84                4,3
2              1,00                3,7
3              1,19                3,1
4              1,41                2,6   
5              1,68                2,2  
6              2,00                1,8
7              2,38                1,5  
8              2,83                1,3
9              3,36                1,1 
10            4,00                0,9
11            4,76                0,8
12            5,66                0,7
</t>
        </r>
        <r>
          <rPr>
            <b/>
            <sz val="12"/>
            <color indexed="81"/>
            <rFont val="Tahoma"/>
            <family val="2"/>
          </rPr>
          <t xml:space="preserve">PARA PONTO FOCAL &lt; 0,6 MAGNIFICAÇÃO DE 1,87 = DISTÂNCIA FOCO FILME DE 86CM.
DISTÂNCIA DA FERRAMENTA ATÉ O FILME 25 CM.
</t>
        </r>
        <r>
          <rPr>
            <b/>
            <sz val="8"/>
            <color indexed="81"/>
            <rFont val="Tahoma"/>
            <family val="2"/>
          </rPr>
          <t xml:space="preserve">
</t>
        </r>
        <r>
          <rPr>
            <sz val="8"/>
            <color indexed="81"/>
            <rFont val="Tahoma"/>
            <family val="2"/>
          </rPr>
          <t xml:space="preserve">
</t>
        </r>
      </text>
    </comment>
    <comment ref="C19" authorId="1">
      <text>
        <r>
          <rPr>
            <b/>
            <sz val="12"/>
            <color indexed="81"/>
            <rFont val="Tahoma"/>
            <family val="2"/>
          </rPr>
          <t>FRP:</t>
        </r>
        <r>
          <rPr>
            <sz val="12"/>
            <color indexed="81"/>
            <rFont val="Tahoma"/>
            <family val="2"/>
          </rPr>
          <t xml:space="preserve">
FERRAMENTA DA MRA
GRUPO   ---- PONTO FOCAL
1 ----3,4mm
2 --- 2,9
3 --- 2,4
4 --- 2,0
5 --- 1,7
6 --- 1,4
7 --- 1,2
8 --- 1,0
9 --- 0,8
10 -- 0,7
11 --- 0,6</t>
        </r>
      </text>
    </comment>
    <comment ref="J22" authorId="0">
      <text>
        <r>
          <rPr>
            <b/>
            <sz val="8"/>
            <color indexed="81"/>
            <rFont val="Tahoma"/>
            <family val="2"/>
          </rPr>
          <t>Fernanda:</t>
        </r>
        <r>
          <rPr>
            <sz val="8"/>
            <color indexed="81"/>
            <rFont val="Tahoma"/>
            <family val="2"/>
          </rPr>
          <t xml:space="preserve">
CALCULO DO PONTO FOCAL COM MAGNIFICAÇÃO</t>
        </r>
      </text>
    </comment>
    <comment ref="J23" authorId="0">
      <text>
        <r>
          <rPr>
            <b/>
            <sz val="8"/>
            <color indexed="81"/>
            <rFont val="Tahoma"/>
            <family val="2"/>
          </rPr>
          <t>Fernanda:</t>
        </r>
        <r>
          <rPr>
            <sz val="8"/>
            <color indexed="81"/>
            <rFont val="Tahoma"/>
            <family val="2"/>
          </rPr>
          <t xml:space="preserve">
A DISTÂNCIA FOCO ATÉ A SUPERFÍCIE DA FERRAMENTA DEVE SER DE 46 CM</t>
        </r>
      </text>
    </comment>
    <comment ref="J24" authorId="0">
      <text>
        <r>
          <rPr>
            <b/>
            <sz val="8"/>
            <color indexed="81"/>
            <rFont val="Tahoma"/>
            <family val="2"/>
          </rPr>
          <t>Fernanda:</t>
        </r>
        <r>
          <rPr>
            <sz val="8"/>
            <color indexed="81"/>
            <rFont val="Tahoma"/>
            <family val="2"/>
          </rPr>
          <t xml:space="preserve">
A DISTÂNCIA DA BASE inferior DA FERRAMENTA ATÉ O FILME DEVE SER DE 25CM</t>
        </r>
      </text>
    </comment>
    <comment ref="K27" authorId="0">
      <text>
        <r>
          <rPr>
            <b/>
            <sz val="8"/>
            <color indexed="81"/>
            <rFont val="Tahoma"/>
            <family val="2"/>
          </rPr>
          <t>Fernanda:</t>
        </r>
        <r>
          <rPr>
            <sz val="8"/>
            <color indexed="81"/>
            <rFont val="Tahoma"/>
            <family val="2"/>
          </rPr>
          <t xml:space="preserve">
p/mm CORRESPONDENTE AO GRUPO OBSERVADO</t>
        </r>
      </text>
    </comment>
    <comment ref="E39" authorId="0">
      <text>
        <r>
          <rPr>
            <b/>
            <sz val="8"/>
            <color indexed="81"/>
            <rFont val="Tahoma"/>
            <family val="2"/>
          </rPr>
          <t>Fernanda:</t>
        </r>
        <r>
          <rPr>
            <sz val="8"/>
            <color indexed="81"/>
            <rFont val="Tahoma"/>
            <family val="2"/>
          </rPr>
          <t xml:space="preserve">
A D.O DEVE ESTAR ENTRE 1 E 2</t>
        </r>
      </text>
    </comment>
    <comment ref="E46" authorId="0">
      <text>
        <r>
          <rPr>
            <b/>
            <sz val="8"/>
            <color indexed="81"/>
            <rFont val="Tahoma"/>
            <family val="2"/>
          </rPr>
          <t>Fernanda:</t>
        </r>
        <r>
          <rPr>
            <sz val="8"/>
            <color indexed="81"/>
            <rFont val="Tahoma"/>
            <family val="2"/>
          </rPr>
          <t xml:space="preserve">
A D.O DEVE ESTAR ENTRE 1 E 2</t>
        </r>
      </text>
    </comment>
  </commentList>
</comments>
</file>

<file path=xl/sharedStrings.xml><?xml version="1.0" encoding="utf-8"?>
<sst xmlns="http://schemas.openxmlformats.org/spreadsheetml/2006/main" count="1292" uniqueCount="680">
  <si>
    <t>Base Plus Fog</t>
  </si>
  <si>
    <t>kVp</t>
  </si>
  <si>
    <t>mAs</t>
  </si>
  <si>
    <t>Alinhamento Vertical</t>
  </si>
  <si>
    <t>Comando do Equipamento</t>
  </si>
  <si>
    <t>Cabos de alta tensão</t>
  </si>
  <si>
    <t>Transformador</t>
  </si>
  <si>
    <t>Luz de Advertência</t>
  </si>
  <si>
    <t>Aviso sobre radiação</t>
  </si>
  <si>
    <t>Outros:</t>
  </si>
  <si>
    <t>Estado geral</t>
  </si>
  <si>
    <t>Acessórios</t>
  </si>
  <si>
    <t xml:space="preserve">Avental Pb:  </t>
  </si>
  <si>
    <t>Luvas Pb :</t>
  </si>
  <si>
    <t>Óculos Pb:</t>
  </si>
  <si>
    <t>Protetor de Tireóide:</t>
  </si>
  <si>
    <t>Protetor de Gônodas:</t>
  </si>
  <si>
    <t>Cones:</t>
  </si>
  <si>
    <t>Cilindros de extensão:</t>
  </si>
  <si>
    <t>Divisores de Pb:</t>
  </si>
  <si>
    <t>Goniômetro:</t>
  </si>
  <si>
    <t xml:space="preserve">Espessômetro: </t>
  </si>
  <si>
    <t>Processadora</t>
  </si>
  <si>
    <t>Luz de segurança.</t>
  </si>
  <si>
    <t>Passa Filme (CHASSI)</t>
  </si>
  <si>
    <t xml:space="preserve">Armário de filmes </t>
  </si>
  <si>
    <t xml:space="preserve">Químicos </t>
  </si>
  <si>
    <t>Armário de Chassis</t>
  </si>
  <si>
    <t xml:space="preserve">Exaustor </t>
  </si>
  <si>
    <t>Entrada de Luz</t>
  </si>
  <si>
    <t>Valores</t>
  </si>
  <si>
    <t>Resultados</t>
  </si>
  <si>
    <t>Parâmetro</t>
  </si>
  <si>
    <t>Temperatura água</t>
  </si>
  <si>
    <t>Temperatura Fixador</t>
  </si>
  <si>
    <t>Temperatura Revelador</t>
  </si>
  <si>
    <t xml:space="preserve"> Centro</t>
  </si>
  <si>
    <t>D.O.</t>
  </si>
  <si>
    <t>Desvio  esquerdo</t>
  </si>
  <si>
    <t>Desvio direito</t>
  </si>
  <si>
    <t>Desvio Superior</t>
  </si>
  <si>
    <t>Desvio Inferior</t>
  </si>
  <si>
    <t>Distância foco filme:</t>
  </si>
  <si>
    <t>(cm)</t>
  </si>
  <si>
    <t>cm</t>
  </si>
  <si>
    <t>Aceitação</t>
  </si>
  <si>
    <t>Observações</t>
  </si>
  <si>
    <t>&gt; 3º</t>
  </si>
  <si>
    <t>Desalinhamento</t>
  </si>
  <si>
    <t>Distância: 1 m</t>
  </si>
  <si>
    <t>Câmara Escura</t>
  </si>
  <si>
    <t>Conclusões:</t>
  </si>
  <si>
    <t>Resultado</t>
  </si>
  <si>
    <t>kVp nominal</t>
  </si>
  <si>
    <t>Média</t>
  </si>
  <si>
    <t>CV</t>
  </si>
  <si>
    <t>d(%)</t>
  </si>
  <si>
    <t>ACEITAÇÃO</t>
  </si>
  <si>
    <t>kVp medido 1</t>
  </si>
  <si>
    <t>kVp medido 2</t>
  </si>
  <si>
    <t>kVp medido 3</t>
  </si>
  <si>
    <t>kVp medido 4</t>
  </si>
  <si>
    <t xml:space="preserve">mAs </t>
  </si>
  <si>
    <t>R (%)</t>
  </si>
  <si>
    <t>L(%)</t>
  </si>
  <si>
    <t>Leitura 1</t>
  </si>
  <si>
    <t>Leitura 2</t>
  </si>
  <si>
    <t>Leitura 3</t>
  </si>
  <si>
    <t>Leitura 4</t>
  </si>
  <si>
    <t>R/mAs</t>
  </si>
  <si>
    <t>R (mGy/mA*min)</t>
  </si>
  <si>
    <r>
      <t xml:space="preserve">f </t>
    </r>
    <r>
      <rPr>
        <vertAlign val="subscript"/>
        <sz val="12"/>
        <rFont val="Souvenir Lt BT"/>
        <family val="1"/>
      </rPr>
      <t>(P,T)</t>
    </r>
  </si>
  <si>
    <t xml:space="preserve">RE nº 64 da Vigilância Sanitária: a Exatidão (d%) deve estar entre o intervalo </t>
  </si>
  <si>
    <t>Tempo 1</t>
  </si>
  <si>
    <t>Tempo 2</t>
  </si>
  <si>
    <t>Tempo 3</t>
  </si>
  <si>
    <t>Tempo 4</t>
  </si>
  <si>
    <t xml:space="preserve">Medida </t>
  </si>
  <si>
    <t>mR/h</t>
  </si>
  <si>
    <t>Distância Foco-Detector 60cm</t>
  </si>
  <si>
    <t>CSR</t>
  </si>
  <si>
    <r>
      <t>L</t>
    </r>
    <r>
      <rPr>
        <b/>
        <vertAlign val="subscript"/>
        <sz val="12"/>
        <rFont val="Souvenir Lt BT"/>
        <family val="1"/>
      </rPr>
      <t>a</t>
    </r>
  </si>
  <si>
    <r>
      <t>x</t>
    </r>
    <r>
      <rPr>
        <b/>
        <vertAlign val="subscript"/>
        <sz val="12"/>
        <rFont val="Souvenir Lt BT"/>
        <family val="1"/>
      </rPr>
      <t>a</t>
    </r>
  </si>
  <si>
    <r>
      <t>L</t>
    </r>
    <r>
      <rPr>
        <b/>
        <vertAlign val="subscript"/>
        <sz val="12"/>
        <rFont val="Souvenir Lt BT"/>
        <family val="1"/>
      </rPr>
      <t>b</t>
    </r>
  </si>
  <si>
    <r>
      <t>x</t>
    </r>
    <r>
      <rPr>
        <b/>
        <vertAlign val="subscript"/>
        <sz val="12"/>
        <rFont val="Souvenir Lt BT"/>
        <family val="1"/>
      </rPr>
      <t>b</t>
    </r>
  </si>
  <si>
    <t>La/Lb</t>
  </si>
  <si>
    <t>Monofásico</t>
  </si>
  <si>
    <t>Trifásico</t>
  </si>
  <si>
    <t>2,3 mmAl</t>
  </si>
  <si>
    <t>&lt; 1,5º</t>
  </si>
  <si>
    <t>&lt; 3º</t>
  </si>
  <si>
    <t>DFF</t>
  </si>
  <si>
    <t>Menor grupo observado</t>
  </si>
  <si>
    <t>Valor de referência para os próximos testes</t>
  </si>
  <si>
    <t>Reprodutibilidade do Tempo de Exposição</t>
  </si>
  <si>
    <t>DOSE DE ENTRADA NA PELE</t>
  </si>
  <si>
    <t>Dose (mGy)</t>
  </si>
  <si>
    <t>Coluna Lombar</t>
  </si>
  <si>
    <t>Exposição 1</t>
  </si>
  <si>
    <t>Exposição 2</t>
  </si>
  <si>
    <t>Exposição 3</t>
  </si>
  <si>
    <t>Exposição 4</t>
  </si>
  <si>
    <t>AP (23cm)</t>
  </si>
  <si>
    <t>LAT (30cm)</t>
  </si>
  <si>
    <t>JLS (20cm)</t>
  </si>
  <si>
    <t>Ref. veloc. 200</t>
  </si>
  <si>
    <t>Tórax</t>
  </si>
  <si>
    <t>LAT (32cm)</t>
  </si>
  <si>
    <t>AP (19cm)</t>
  </si>
  <si>
    <t>LAT (15cm)</t>
  </si>
  <si>
    <t>Crânio</t>
  </si>
  <si>
    <t>Tamanho do ponto focal</t>
  </si>
  <si>
    <t>TEMPO (ms)</t>
  </si>
  <si>
    <t>Técnica utilizada</t>
  </si>
  <si>
    <t>80kVp</t>
  </si>
  <si>
    <t>40mAs</t>
  </si>
  <si>
    <t xml:space="preserve">Linearidade da taxa de kerma no ar (%) </t>
  </si>
  <si>
    <t>Exatidão do Tempo de Exposição (%)</t>
  </si>
  <si>
    <t>Reprodutibilidade do AEC (%)</t>
  </si>
  <si>
    <t>Foco Fino</t>
  </si>
  <si>
    <t>mm</t>
  </si>
  <si>
    <t>Magnificação</t>
  </si>
  <si>
    <t>dist. Ferram. Filme</t>
  </si>
  <si>
    <t>dist. Foco sup. Ferram.</t>
  </si>
  <si>
    <t>Tamanho da Ferramenta</t>
  </si>
  <si>
    <t xml:space="preserve">Ponto focal </t>
  </si>
  <si>
    <t>p/mm</t>
  </si>
  <si>
    <t>Cálculo para a dimensão do ponto focal fino</t>
  </si>
  <si>
    <t>Referências</t>
  </si>
  <si>
    <t>Média de densidade</t>
  </si>
  <si>
    <t>Filme</t>
  </si>
  <si>
    <t>quantidade</t>
  </si>
  <si>
    <t>avaliação</t>
  </si>
  <si>
    <t xml:space="preserve">Processadora </t>
  </si>
  <si>
    <t>Testes de Controle de Qualidade em Radiodiagnóstico</t>
  </si>
  <si>
    <r>
      <t xml:space="preserve">de </t>
    </r>
    <r>
      <rPr>
        <i/>
        <u/>
        <sz val="10"/>
        <rFont val="Souvenir Lt BT"/>
        <family val="1"/>
      </rPr>
      <t>+</t>
    </r>
    <r>
      <rPr>
        <sz val="10"/>
        <rFont val="Souvenir Lt BT"/>
        <family val="1"/>
      </rPr>
      <t xml:space="preserve"> 10% do valor nominal para qualquer corrente no tubo. E a reprodutibilidade (CV) </t>
    </r>
  </si>
  <si>
    <t>deve ser &lt; 0,1</t>
  </si>
  <si>
    <t xml:space="preserve">Exatidão da Tensão do Tubo  </t>
  </si>
  <si>
    <t>Reprodutibilidade da Tensão do Tubo</t>
  </si>
  <si>
    <t>La/Lo</t>
  </si>
  <si>
    <t>Lb/Lo</t>
  </si>
  <si>
    <t xml:space="preserve">Colimação </t>
  </si>
  <si>
    <t xml:space="preserve">Reprodutibilidade da taxa de kerma no ar  (%)   </t>
  </si>
  <si>
    <t>Rendimento do tubo de raios-X (mGy/mAs)</t>
  </si>
  <si>
    <t>Camada Semi-Redutora (mm)</t>
  </si>
  <si>
    <t>Valor aceitável &lt; 3º</t>
  </si>
  <si>
    <t>Testes de Constância e Controle de Qualidade</t>
  </si>
  <si>
    <t>Execução</t>
  </si>
  <si>
    <t xml:space="preserve">Instituição </t>
  </si>
  <si>
    <t xml:space="preserve">Endereço </t>
  </si>
  <si>
    <t xml:space="preserve">Equipamento </t>
  </si>
  <si>
    <t>Modelo</t>
  </si>
  <si>
    <t>Filtração</t>
  </si>
  <si>
    <t>Ponto Focal</t>
  </si>
  <si>
    <t>Relatório</t>
  </si>
  <si>
    <t>Data do Relatório</t>
  </si>
  <si>
    <t>DESCRIÇÃO</t>
  </si>
  <si>
    <t xml:space="preserve">MATERIAIS UTILIZADOS  PARA  A  REALIZAÇÃO  DOS  TESTES </t>
  </si>
  <si>
    <t>MÉTODOS</t>
  </si>
  <si>
    <t>1-</t>
  </si>
  <si>
    <t>2-</t>
  </si>
  <si>
    <t>3-</t>
  </si>
  <si>
    <t>4-</t>
  </si>
  <si>
    <t>5-</t>
  </si>
  <si>
    <t>6-</t>
  </si>
  <si>
    <t>7-</t>
  </si>
  <si>
    <t>8-</t>
  </si>
  <si>
    <t>9-</t>
  </si>
  <si>
    <t>10-</t>
  </si>
  <si>
    <t>11-</t>
  </si>
  <si>
    <t>12-</t>
  </si>
  <si>
    <t>Indice de contraste</t>
  </si>
  <si>
    <t>Ponto Focal Fino</t>
  </si>
  <si>
    <t>Ponto Focal Grosso</t>
  </si>
  <si>
    <t>13-</t>
  </si>
  <si>
    <t>14-</t>
  </si>
  <si>
    <t>15-</t>
  </si>
  <si>
    <t>16-</t>
  </si>
  <si>
    <t>Tempo</t>
  </si>
  <si>
    <t>kVp Máximo</t>
  </si>
  <si>
    <t xml:space="preserve">   Resultados dos Testes de Controle de Qualidade em Radiodiagnóstico</t>
  </si>
  <si>
    <t xml:space="preserve">Cidade </t>
  </si>
  <si>
    <t>18X24</t>
  </si>
  <si>
    <t>24X30</t>
  </si>
  <si>
    <t>30X40</t>
  </si>
  <si>
    <t>35X35</t>
  </si>
  <si>
    <t>35X43</t>
  </si>
  <si>
    <t>17-</t>
  </si>
  <si>
    <t>Número de Série</t>
  </si>
  <si>
    <t>mA</t>
  </si>
  <si>
    <t>AP</t>
  </si>
  <si>
    <t>LAT</t>
  </si>
  <si>
    <t>JLS</t>
  </si>
  <si>
    <t>PA</t>
  </si>
  <si>
    <t>kV</t>
  </si>
  <si>
    <t>BSF</t>
  </si>
  <si>
    <t>Distância foco filme 1m</t>
  </si>
  <si>
    <t>filme 600</t>
  </si>
  <si>
    <t>Dose de entrada na Pele</t>
  </si>
  <si>
    <t>Projeção</t>
  </si>
  <si>
    <t>Satisfatório</t>
  </si>
  <si>
    <t>Vistorias</t>
  </si>
  <si>
    <t>Temperatura do revelador</t>
  </si>
  <si>
    <t>mGy</t>
  </si>
  <si>
    <t>(%)</t>
  </si>
  <si>
    <t>Responsável</t>
  </si>
  <si>
    <t>2,6 mmAl</t>
  </si>
  <si>
    <t xml:space="preserve">                                                          </t>
  </si>
  <si>
    <t>Espessura de mmAl</t>
  </si>
  <si>
    <t>O ângulo de inclinação em relação ao eixo central do feixe deve ser &lt; 3º</t>
  </si>
  <si>
    <r>
      <t xml:space="preserve">A reprodutibilidade deve ser </t>
    </r>
    <r>
      <rPr>
        <i/>
        <u/>
        <sz val="10"/>
        <rFont val="Souvenir Lt BT"/>
      </rPr>
      <t>&lt;</t>
    </r>
    <r>
      <rPr>
        <i/>
        <sz val="10"/>
        <rFont val="Souvenir Lt BT"/>
      </rPr>
      <t xml:space="preserve"> 10% e a Linearidade </t>
    </r>
    <r>
      <rPr>
        <i/>
        <u/>
        <sz val="10"/>
        <rFont val="Souvenir Lt BT"/>
      </rPr>
      <t>&lt;</t>
    </r>
    <r>
      <rPr>
        <i/>
        <sz val="10"/>
        <rFont val="Souvenir Lt BT"/>
      </rPr>
      <t xml:space="preserve"> 20%</t>
    </r>
  </si>
  <si>
    <r>
      <t xml:space="preserve">A exatidão  deve estar dentro de </t>
    </r>
    <r>
      <rPr>
        <i/>
        <u/>
        <sz val="10"/>
        <rFont val="Souvenir Lt BT"/>
      </rPr>
      <t>+</t>
    </r>
    <r>
      <rPr>
        <i/>
        <sz val="10"/>
        <rFont val="Souvenir Lt BT"/>
      </rPr>
      <t xml:space="preserve"> 10% e a reprodutibilidade deve ser </t>
    </r>
    <r>
      <rPr>
        <i/>
        <u/>
        <sz val="10"/>
        <rFont val="Souvenir Lt BT"/>
      </rPr>
      <t>&lt;</t>
    </r>
    <r>
      <rPr>
        <i/>
        <sz val="10"/>
        <rFont val="Souvenir Lt BT"/>
      </rPr>
      <t xml:space="preserve"> 10%</t>
    </r>
  </si>
  <si>
    <r>
      <t xml:space="preserve">A reprodutibilidade deve ser </t>
    </r>
    <r>
      <rPr>
        <u/>
        <sz val="10"/>
        <rFont val="Souvenir Lt BT"/>
      </rPr>
      <t>&lt;</t>
    </r>
    <r>
      <rPr>
        <sz val="10"/>
        <rFont val="Souvenir Lt BT"/>
      </rPr>
      <t xml:space="preserve"> 10%</t>
    </r>
  </si>
  <si>
    <t>max dimensão</t>
  </si>
  <si>
    <t>largura</t>
  </si>
  <si>
    <t>comprimento</t>
  </si>
  <si>
    <t xml:space="preserve">(A) Condições Gerais </t>
  </si>
  <si>
    <t xml:space="preserve"> (B) Controle de Qualidade em Processadora</t>
  </si>
  <si>
    <t>(C) Controle de Qualidade dos Cassetes</t>
  </si>
  <si>
    <t>Avaliação dos chassis</t>
  </si>
  <si>
    <t>Teste de contato tela filme</t>
  </si>
  <si>
    <t>C</t>
  </si>
  <si>
    <t>B</t>
  </si>
  <si>
    <t>A</t>
  </si>
  <si>
    <t>2 / 3 -  EXATIDÃO E REPRODUTIBILIDADE DA TENSÃO DO TUBO</t>
  </si>
  <si>
    <t>15 / 16 - TESTE DE GRADE</t>
  </si>
  <si>
    <r>
      <t xml:space="preserve">0,45 </t>
    </r>
    <r>
      <rPr>
        <b/>
        <u/>
        <sz val="12"/>
        <rFont val="Souvenir Lt BT"/>
      </rPr>
      <t>+</t>
    </r>
    <r>
      <rPr>
        <b/>
        <sz val="12"/>
        <rFont val="Souvenir Lt BT"/>
      </rPr>
      <t xml:space="preserve"> 0,15</t>
    </r>
  </si>
  <si>
    <r>
      <t xml:space="preserve">1,2 </t>
    </r>
    <r>
      <rPr>
        <b/>
        <u/>
        <sz val="12"/>
        <rFont val="Souvenir Lt BT"/>
      </rPr>
      <t xml:space="preserve"> +</t>
    </r>
    <r>
      <rPr>
        <b/>
        <sz val="12"/>
        <rFont val="Souvenir Lt BT"/>
      </rPr>
      <t xml:space="preserve"> 0,15</t>
    </r>
  </si>
  <si>
    <r>
      <t xml:space="preserve">2,2 </t>
    </r>
    <r>
      <rPr>
        <b/>
        <u/>
        <sz val="12"/>
        <rFont val="Souvenir Lt BT"/>
      </rPr>
      <t>+</t>
    </r>
    <r>
      <rPr>
        <b/>
        <sz val="12"/>
        <rFont val="Souvenir Lt BT"/>
      </rPr>
      <t xml:space="preserve"> 0,15</t>
    </r>
  </si>
  <si>
    <r>
      <t xml:space="preserve">1,75 </t>
    </r>
    <r>
      <rPr>
        <b/>
        <u/>
        <sz val="12"/>
        <rFont val="Souvenir Lt BT"/>
      </rPr>
      <t>+</t>
    </r>
    <r>
      <rPr>
        <b/>
        <sz val="12"/>
        <rFont val="Souvenir Lt BT"/>
      </rPr>
      <t xml:space="preserve"> 0,15</t>
    </r>
  </si>
  <si>
    <t>33º a 39º C</t>
  </si>
  <si>
    <t>Quadro de orientações de prot. Rad.</t>
  </si>
  <si>
    <t>13x18</t>
  </si>
  <si>
    <t>TESTE DE CONTATO TELA FILME</t>
  </si>
  <si>
    <t xml:space="preserve">Baixa densidade </t>
  </si>
  <si>
    <t xml:space="preserve">Media densidade </t>
  </si>
  <si>
    <t xml:space="preserve">Alta densidade </t>
  </si>
  <si>
    <t>Índice de contraste</t>
  </si>
  <si>
    <r>
      <t xml:space="preserve">0,20 </t>
    </r>
    <r>
      <rPr>
        <b/>
        <u/>
        <sz val="12"/>
        <rFont val="Souvenir Lt BT"/>
      </rPr>
      <t>+</t>
    </r>
    <r>
      <rPr>
        <b/>
        <sz val="12"/>
        <rFont val="Souvenir Lt BT"/>
      </rPr>
      <t>0,03</t>
    </r>
  </si>
  <si>
    <t>Tabela de exposição</t>
  </si>
  <si>
    <t xml:space="preserve">Distância foco filme </t>
  </si>
  <si>
    <t>m</t>
  </si>
  <si>
    <t>Distância foco filme</t>
  </si>
  <si>
    <t>Valor mínimo 2,3mmAl para geradores Monofásico e 2,6 mmAl para geradores Trifásico</t>
  </si>
  <si>
    <t>Pac/dia</t>
  </si>
  <si>
    <t>Àrea da sala</t>
  </si>
  <si>
    <t>ex/dia</t>
  </si>
  <si>
    <t>dias/sem</t>
  </si>
  <si>
    <r>
      <t>m</t>
    </r>
    <r>
      <rPr>
        <vertAlign val="superscript"/>
        <sz val="10"/>
        <rFont val="Arial"/>
        <family val="2"/>
      </rPr>
      <t>2</t>
    </r>
  </si>
  <si>
    <t>tempo/ex</t>
  </si>
  <si>
    <t>s</t>
  </si>
  <si>
    <t>W (mA.min/sem)</t>
  </si>
  <si>
    <t>min/sem</t>
  </si>
  <si>
    <t>Posição</t>
  </si>
  <si>
    <t>Pontos</t>
  </si>
  <si>
    <t>Blindagem</t>
  </si>
  <si>
    <t>T</t>
  </si>
  <si>
    <t>U</t>
  </si>
  <si>
    <t>Direção do Feixe</t>
  </si>
  <si>
    <t>Dose</t>
  </si>
  <si>
    <t>Dose anual</t>
  </si>
  <si>
    <t>(nSv)</t>
  </si>
  <si>
    <t>A1</t>
  </si>
  <si>
    <t>Vertical para baixo</t>
  </si>
  <si>
    <t>A2</t>
  </si>
  <si>
    <t>A3</t>
  </si>
  <si>
    <t>B1</t>
  </si>
  <si>
    <t>Parede</t>
  </si>
  <si>
    <t>B2</t>
  </si>
  <si>
    <t>B3</t>
  </si>
  <si>
    <t>C1</t>
  </si>
  <si>
    <t>Porta</t>
  </si>
  <si>
    <t>C2</t>
  </si>
  <si>
    <t>C3</t>
  </si>
  <si>
    <t>D1</t>
  </si>
  <si>
    <t>D2</t>
  </si>
  <si>
    <t>D3</t>
  </si>
  <si>
    <t>D4</t>
  </si>
  <si>
    <t>D5</t>
  </si>
  <si>
    <t>E1</t>
  </si>
  <si>
    <t>E2</t>
  </si>
  <si>
    <t>E3</t>
  </si>
  <si>
    <t>E4</t>
  </si>
  <si>
    <t>E5</t>
  </si>
  <si>
    <t>Régua</t>
  </si>
  <si>
    <t>Renato Dimenstein - Físico</t>
  </si>
  <si>
    <t>Não disponível</t>
  </si>
  <si>
    <t>* Dose externa (mSv)*60(s/min)/[I] (mA) *W (mA*min/sem)*U*T</t>
  </si>
  <si>
    <t xml:space="preserve">Dose </t>
  </si>
  <si>
    <t xml:space="preserve">(mSv/min/mA) </t>
  </si>
  <si>
    <t xml:space="preserve">(mSv/ano) </t>
  </si>
  <si>
    <t>40kVp</t>
  </si>
  <si>
    <t>ok</t>
  </si>
  <si>
    <t>FATORES DE USO (U)</t>
  </si>
  <si>
    <t>PISO</t>
  </si>
  <si>
    <t>PAREDE</t>
  </si>
  <si>
    <t>FATORES DE OCUPAÇÃO (T)</t>
  </si>
  <si>
    <t>Integral</t>
  </si>
  <si>
    <t>consultório, recepção</t>
  </si>
  <si>
    <t>Parcial</t>
  </si>
  <si>
    <t>sala de espera, vestiário, circulação interna</t>
  </si>
  <si>
    <t>Níveis de Restrição de Dose (Portaria MS/SVS no 453/98)</t>
  </si>
  <si>
    <t>àrea Controlada</t>
  </si>
  <si>
    <t>0,10mSv/sem</t>
  </si>
  <si>
    <t>5,0mSv/ano</t>
  </si>
  <si>
    <t>àrea Livre</t>
  </si>
  <si>
    <t>0,01mSv/sem</t>
  </si>
  <si>
    <t>0,5mSv/ano</t>
  </si>
  <si>
    <t>R = taxa de kerma corrigida para a corrente máxima de funcionamento contínuo.</t>
  </si>
  <si>
    <t>Limites de radiação de fuga</t>
  </si>
  <si>
    <t>Radiologia médica</t>
  </si>
  <si>
    <t>1,0mGy/h a 1m do ponto focal</t>
  </si>
  <si>
    <t>Radiologia odontológica</t>
  </si>
  <si>
    <t>0,25mGy/h a 1m do ponto focal (intra-oral)</t>
  </si>
  <si>
    <t>1,0mGy/h demais equipamentos</t>
  </si>
  <si>
    <t>Ano Fabricação</t>
  </si>
  <si>
    <t>Liberado:</t>
  </si>
  <si>
    <t>Ordem de serviço</t>
  </si>
  <si>
    <t>1,6 mAs</t>
  </si>
  <si>
    <t>44kVp</t>
  </si>
  <si>
    <t>Distância: 1,3 m</t>
  </si>
  <si>
    <t>Referência</t>
  </si>
  <si>
    <r>
      <t xml:space="preserve">(Limite de </t>
    </r>
    <r>
      <rPr>
        <i/>
        <u/>
        <sz val="10"/>
        <rFont val="Souvenir Lt BT"/>
      </rPr>
      <t>+</t>
    </r>
    <r>
      <rPr>
        <i/>
        <sz val="10"/>
        <rFont val="Souvenir Lt BT"/>
      </rPr>
      <t xml:space="preserve"> 10%)</t>
    </r>
  </si>
  <si>
    <r>
      <t xml:space="preserve">(Valor aceitável </t>
    </r>
    <r>
      <rPr>
        <i/>
        <u/>
        <sz val="10"/>
        <rFont val="Souvenir Lt BT"/>
      </rPr>
      <t>&lt;</t>
    </r>
    <r>
      <rPr>
        <i/>
        <sz val="10"/>
        <rFont val="Souvenir Lt BT"/>
      </rPr>
      <t xml:space="preserve"> 0,1)</t>
    </r>
  </si>
  <si>
    <r>
      <t xml:space="preserve">Limite de </t>
    </r>
    <r>
      <rPr>
        <i/>
        <u/>
        <sz val="10"/>
        <rFont val="Souvenir Lt BT"/>
      </rPr>
      <t>+</t>
    </r>
    <r>
      <rPr>
        <i/>
        <sz val="10"/>
        <rFont val="Souvenir Lt BT"/>
      </rPr>
      <t xml:space="preserve"> 10%</t>
    </r>
  </si>
  <si>
    <r>
      <t xml:space="preserve">Limite de </t>
    </r>
    <r>
      <rPr>
        <i/>
        <u/>
        <sz val="10"/>
        <rFont val="Souvenir Lt BT"/>
      </rPr>
      <t>+</t>
    </r>
    <r>
      <rPr>
        <i/>
        <sz val="10"/>
        <rFont val="Souvenir Lt BT"/>
      </rPr>
      <t xml:space="preserve"> 20%</t>
    </r>
  </si>
  <si>
    <r>
      <t xml:space="preserve">Valor aceitável </t>
    </r>
    <r>
      <rPr>
        <i/>
        <u/>
        <sz val="10"/>
        <rFont val="Souvenir Lt BT"/>
      </rPr>
      <t>&lt;</t>
    </r>
    <r>
      <rPr>
        <i/>
        <sz val="10"/>
        <rFont val="Souvenir Lt BT"/>
      </rPr>
      <t xml:space="preserve"> 0,1</t>
    </r>
  </si>
  <si>
    <r>
      <t xml:space="preserve">Valor aceitável </t>
    </r>
    <r>
      <rPr>
        <i/>
        <u/>
        <sz val="10"/>
        <rFont val="Souvenir Lt BT"/>
      </rPr>
      <t>&lt;</t>
    </r>
    <r>
      <rPr>
        <i/>
        <sz val="10"/>
        <rFont val="Souvenir Lt BT"/>
      </rPr>
      <t xml:space="preserve">  2% da DFF</t>
    </r>
    <r>
      <rPr>
        <sz val="10"/>
        <rFont val="Souvenir Lt BT"/>
      </rPr>
      <t xml:space="preserve"> </t>
    </r>
  </si>
  <si>
    <t>Patrimônio</t>
  </si>
  <si>
    <t>Projeções Radiográficas</t>
  </si>
  <si>
    <t>Estado geral dos acessórios:</t>
  </si>
  <si>
    <t>Estado geral dos chassis:</t>
  </si>
  <si>
    <r>
      <t>Obs.:</t>
    </r>
    <r>
      <rPr>
        <sz val="12"/>
        <rFont val="Souvenir Lt BT"/>
      </rPr>
      <t xml:space="preserve"> não constam os valores de ponto focal do equipamento, porém os valores medidos são considerados satisfatório para equipamentos de mesma tecnologia.</t>
    </r>
  </si>
  <si>
    <t>Abdômen/Pelve</t>
  </si>
  <si>
    <t>Coluna Torácica</t>
  </si>
  <si>
    <t>*</t>
  </si>
  <si>
    <t>*Itens Obrigatórios</t>
  </si>
  <si>
    <t>Visor</t>
  </si>
  <si>
    <t>C4</t>
  </si>
  <si>
    <t>C5</t>
  </si>
  <si>
    <t>F1</t>
  </si>
  <si>
    <t>F2</t>
  </si>
  <si>
    <t>F3</t>
  </si>
  <si>
    <t>F4</t>
  </si>
  <si>
    <t>F5</t>
  </si>
  <si>
    <t>Validade 12 meses</t>
  </si>
  <si>
    <t>--</t>
  </si>
  <si>
    <t>Obs.: Verficar problema no botão do mAs.</t>
  </si>
  <si>
    <t>Foco Grosso</t>
  </si>
  <si>
    <t>mA Máximo</t>
  </si>
  <si>
    <t>2,0mAs</t>
  </si>
  <si>
    <t>Horizontal/Vertical</t>
  </si>
  <si>
    <t>Qtde.</t>
  </si>
  <si>
    <t>Obs.</t>
  </si>
  <si>
    <t>Avaliação</t>
  </si>
  <si>
    <t>G1</t>
  </si>
  <si>
    <t>G2</t>
  </si>
  <si>
    <t>G3</t>
  </si>
  <si>
    <t>G4</t>
  </si>
  <si>
    <t>G5</t>
  </si>
  <si>
    <t>H1</t>
  </si>
  <si>
    <t>H2</t>
  </si>
  <si>
    <t>H3</t>
  </si>
  <si>
    <t>H4</t>
  </si>
  <si>
    <t>H5</t>
  </si>
  <si>
    <t>Laje Superior</t>
  </si>
  <si>
    <t>Laje Inferior</t>
  </si>
  <si>
    <t>Piso</t>
  </si>
  <si>
    <t>Teto</t>
  </si>
  <si>
    <t>Adequado Pub-0,5mSv Trab- 5mSv</t>
  </si>
  <si>
    <t>I1</t>
  </si>
  <si>
    <t>I2</t>
  </si>
  <si>
    <t>I3</t>
  </si>
  <si>
    <t>I4</t>
  </si>
  <si>
    <t>I5</t>
  </si>
  <si>
    <t>Marca</t>
  </si>
  <si>
    <t>CSR Rapidose</t>
  </si>
  <si>
    <t>Coef de Aten.</t>
  </si>
  <si>
    <t>J1</t>
  </si>
  <si>
    <t>J2</t>
  </si>
  <si>
    <t>J3</t>
  </si>
  <si>
    <t>J4</t>
  </si>
  <si>
    <t>J5</t>
  </si>
  <si>
    <t>K1</t>
  </si>
  <si>
    <t>K2</t>
  </si>
  <si>
    <t>K3</t>
  </si>
  <si>
    <t>K4</t>
  </si>
  <si>
    <t>K5</t>
  </si>
  <si>
    <t>Sala de RX</t>
  </si>
  <si>
    <t>A5</t>
  </si>
  <si>
    <t>A4</t>
  </si>
  <si>
    <t>Acesso 1</t>
  </si>
  <si>
    <t>B4</t>
  </si>
  <si>
    <t>B5</t>
  </si>
  <si>
    <t>A6</t>
  </si>
  <si>
    <t>A7</t>
  </si>
  <si>
    <t>A8</t>
  </si>
  <si>
    <t>Acesso 2</t>
  </si>
  <si>
    <t>Acesso 3</t>
  </si>
  <si>
    <t>C6</t>
  </si>
  <si>
    <t>C7</t>
  </si>
  <si>
    <t>C8</t>
  </si>
  <si>
    <t>C9</t>
  </si>
  <si>
    <t>Área externa</t>
  </si>
  <si>
    <t>CR</t>
  </si>
  <si>
    <t xml:space="preserve">Vestiário </t>
  </si>
  <si>
    <t>Comando</t>
  </si>
  <si>
    <t>W.C.</t>
  </si>
  <si>
    <t>Verificar funcionamento da luz de advertência da sala de exames.</t>
  </si>
  <si>
    <t>Providenciar tabela de exposição.</t>
  </si>
  <si>
    <t>Providenciar aviso de radiação na porta da sala de exames.</t>
  </si>
  <si>
    <t>Providenciar quadro de orientação de proteção radiológica.</t>
  </si>
  <si>
    <t>Providenciar alerta às grávidas.</t>
  </si>
  <si>
    <t>Verificar o funcionamento da luz do colimador.</t>
  </si>
  <si>
    <t>Providenciar, ao menos, um avental de Pb e um protetor de tireoide para a sala de exames. (Anvisa 453/98 - item 4.3-g)</t>
  </si>
  <si>
    <t>Verificar o índice de contraste da processadora.</t>
  </si>
  <si>
    <t>Verificar a temperatura dos químicos.</t>
  </si>
  <si>
    <t>Verificar o funcionamento da luz de segurança da câmara escura.</t>
  </si>
  <si>
    <t>Providenciar luz de segurança para a câmara escura.</t>
  </si>
  <si>
    <t>Verificar entrada de luz na câmara escura.</t>
  </si>
  <si>
    <t>Providenciar armário para armazenamento das caixas de filmes radiográficos. Os mesmos devem ser armazenados na posição vertical.</t>
  </si>
  <si>
    <t>Providenciar armário para os chassis/Image-Plates. Os mesmos devem ser armazenados na posição vertical.</t>
  </si>
  <si>
    <t>Sugerimos rever as técnicas adotadas para os exames do item 17, de forma que a dose no paciente esteja dentro dos valores recomendados.</t>
  </si>
  <si>
    <t>O tubo de raios X apresentou rendimento abaixo dos valores de referência. Recomendamos que seja feita uma previsão para troca de tubo.</t>
  </si>
  <si>
    <t>Providenciar 1,0 mm de Al na saída do tubo.</t>
  </si>
  <si>
    <t>Nº Item</t>
  </si>
  <si>
    <t>Texto</t>
  </si>
  <si>
    <t>Teste de Grade- Mesa (%)</t>
  </si>
  <si>
    <t>Teste de Grade- Buck (% )</t>
  </si>
  <si>
    <t>N</t>
  </si>
  <si>
    <t>Obs. O equipamento não disponibiliza o ajuste pelo tempo e portanto não há como avaliar a sua exatidão.</t>
  </si>
  <si>
    <t>Condições Gerais</t>
  </si>
  <si>
    <t>Tempo acumulado em Fluoroscopia</t>
  </si>
  <si>
    <t xml:space="preserve">Tamanho do campo </t>
  </si>
  <si>
    <t>Tam. do campo</t>
  </si>
  <si>
    <t>pares mínimos</t>
  </si>
  <si>
    <t>15 a 18 cm</t>
  </si>
  <si>
    <t>Resolução mínima</t>
  </si>
  <si>
    <t>24 centro</t>
  </si>
  <si>
    <t>20 borda</t>
  </si>
  <si>
    <t>30 centro</t>
  </si>
  <si>
    <t>24 borda</t>
  </si>
  <si>
    <t>R/min</t>
  </si>
  <si>
    <t xml:space="preserve">  kVp</t>
  </si>
  <si>
    <t xml:space="preserve"> mA</t>
  </si>
  <si>
    <t>mGy/min</t>
  </si>
  <si>
    <t>Distância Fonte-receptor</t>
  </si>
  <si>
    <t>DFR</t>
  </si>
  <si>
    <t>Máx Desvio Fonte Receptor</t>
  </si>
  <si>
    <t>Soma da diferença</t>
  </si>
  <si>
    <t>soma</t>
  </si>
  <si>
    <t>18-</t>
  </si>
  <si>
    <t xml:space="preserve"> Estabilizador de Brilho Automático</t>
  </si>
  <si>
    <t>19-</t>
  </si>
  <si>
    <t xml:space="preserve"> Discriminação de Baixo Contraste</t>
  </si>
  <si>
    <t>20-</t>
  </si>
  <si>
    <t>Resolução Espacial de Alto Contraste</t>
  </si>
  <si>
    <t>Centro</t>
  </si>
  <si>
    <t>Borda</t>
  </si>
  <si>
    <t>21-</t>
  </si>
  <si>
    <t>Máxima Taxa de kerma em Escopia</t>
  </si>
  <si>
    <t>22-</t>
  </si>
  <si>
    <t>23-</t>
  </si>
  <si>
    <t>desvio tam. campo</t>
  </si>
  <si>
    <t>soma dos módulos</t>
  </si>
  <si>
    <t>Estabilizador de Brilho Automático</t>
  </si>
  <si>
    <t>Baixo Contraste</t>
  </si>
  <si>
    <t>Taxa Máxima de Escopia</t>
  </si>
  <si>
    <t>Alto Contraste</t>
  </si>
  <si>
    <t>Valor máximo de referência (mGy/min):</t>
  </si>
  <si>
    <t>Desvios:</t>
  </si>
  <si>
    <t>Sim/Não</t>
  </si>
  <si>
    <t>Escopia</t>
  </si>
  <si>
    <t>(1-CR, 0-Proc. Conv.)</t>
  </si>
  <si>
    <t>mA:</t>
  </si>
  <si>
    <t>kVp:</t>
  </si>
  <si>
    <t xml:space="preserve">Referência valores para intervalos de 80 kVp </t>
  </si>
  <si>
    <t>Parâmetros</t>
  </si>
  <si>
    <t>Menor malha distinguível no centro:</t>
  </si>
  <si>
    <t>Menor malha distinguível nas bordas:</t>
  </si>
  <si>
    <t xml:space="preserve">Quantidade de pares visualizados:  </t>
  </si>
  <si>
    <t>Placa de Alumínio</t>
  </si>
  <si>
    <t>0,1 cm</t>
  </si>
  <si>
    <t>2,0 cm</t>
  </si>
  <si>
    <t>4,0 cm</t>
  </si>
  <si>
    <t>Limites recomendados:
campo 23 a 25cm (24 centro e 20 borda) 
campo 15 a 18cm (30 centro e 24 borda)</t>
  </si>
  <si>
    <t>Referência NEMA</t>
  </si>
  <si>
    <t>DFD (cm)</t>
  </si>
  <si>
    <t>Tam (mm)</t>
  </si>
  <si>
    <t>23 a 25 cm</t>
  </si>
  <si>
    <t>DEP (mR)</t>
  </si>
  <si>
    <r>
      <t>L</t>
    </r>
    <r>
      <rPr>
        <b/>
        <vertAlign val="subscript"/>
        <sz val="12"/>
        <rFont val="Souvenir Lt BT"/>
      </rPr>
      <t>0/2</t>
    </r>
  </si>
  <si>
    <t xml:space="preserve">CERTIFICADO: </t>
  </si>
  <si>
    <t>CERTIFICADO DE QUALIDADE</t>
  </si>
  <si>
    <t>EQUIPAMENTO:</t>
  </si>
  <si>
    <t>MARCA:</t>
  </si>
  <si>
    <t>MODELO:</t>
  </si>
  <si>
    <t>Nº DE SÉRIE:</t>
  </si>
  <si>
    <t>INSTITUIÇÃO:</t>
  </si>
  <si>
    <t>ENDEREÇO:</t>
  </si>
  <si>
    <t>AFERIDO EM:</t>
  </si>
  <si>
    <t>VÁLIDO ATÉ:</t>
  </si>
  <si>
    <t>RAD DIMENSTEIN</t>
  </si>
  <si>
    <t>CONTROLE DE QUALIDADE EM RADIODIAGNÓSTICO</t>
  </si>
  <si>
    <t>Lista de Resultados para teste 12</t>
  </si>
  <si>
    <t>6. RENDIMENTO DO TUBO DE RAIOS-X</t>
  </si>
  <si>
    <t>1. Vistorias</t>
  </si>
  <si>
    <t>4 / 5 - REPRODUTIBILIDADE E LINEARIDADE DA TAXA DE KERMA NO AR</t>
  </si>
  <si>
    <t>7 / 8 - EXATIDÃO E REPRODUTIBILIDADE DO TEMPO DE EXPOSIÇÃO</t>
  </si>
  <si>
    <t>9. REPRODUTIBILIDADE DO CONTROLE AUTOMÁTICO DE EXPOSIÇÃO (AEC)</t>
  </si>
  <si>
    <t>10. CAMADA SEMI-REDUTORA</t>
  </si>
  <si>
    <t>11. SISTEMA DE COLIMAÇÃO  DO EIXO CENTRAL DO FEIXE DE RAIOS-X</t>
  </si>
  <si>
    <t>12. ALINHAMENTO DO EIXO CENTRAL DO FEIXE DE RAIOS-X</t>
  </si>
  <si>
    <t>13 / 14 - PONTO FOCAL</t>
  </si>
  <si>
    <t>18. Estabilizador de Brilho Automático</t>
  </si>
  <si>
    <t>19. Discriminação de Baixo Contraste</t>
  </si>
  <si>
    <t>20. Resolução Espacial de Alto Contraste</t>
  </si>
  <si>
    <t>21. Máxima Taxa de kerma em Escopia</t>
  </si>
  <si>
    <t>17. DOSE DE ENTRADA NA PELE</t>
  </si>
  <si>
    <t>Data de execução</t>
  </si>
  <si>
    <t>Data do relatório</t>
  </si>
  <si>
    <t>Ordem de serviço / nº da Proposta</t>
  </si>
  <si>
    <t>Instituição</t>
  </si>
  <si>
    <t>Endereço</t>
  </si>
  <si>
    <t>Cidade</t>
  </si>
  <si>
    <t>Equipamento</t>
  </si>
  <si>
    <t>Tipo de processamento:</t>
  </si>
  <si>
    <t>Convencional</t>
  </si>
  <si>
    <t>Computadorizado (CR)</t>
  </si>
  <si>
    <t>Digital (DR)</t>
  </si>
  <si>
    <t>Marca:</t>
  </si>
  <si>
    <t>Bucky Mesa</t>
  </si>
  <si>
    <t>Bucky Mural</t>
  </si>
  <si>
    <t>Disponível:</t>
  </si>
  <si>
    <t>Sim</t>
  </si>
  <si>
    <t>CQ Atual</t>
  </si>
  <si>
    <t>Lista de Resultados para teste 9</t>
  </si>
  <si>
    <t>Para testes feitos com Unfors, preencher aqui</t>
  </si>
  <si>
    <t>CSR Rapidose / Raysafe:</t>
  </si>
  <si>
    <t>Preenchimento obrigatório caso seja processamento convencional</t>
  </si>
  <si>
    <t>--- Preencher abaixo apenas para equipamentos que possuem Fluoroscopia ---</t>
  </si>
  <si>
    <t>Preencher apenas caso AEC esteja disponível</t>
  </si>
  <si>
    <t>*N/A - Não Aplicável</t>
  </si>
  <si>
    <t>Localização do Dosímetro Padrão</t>
  </si>
  <si>
    <t xml:space="preserve">Colimador Luminoso </t>
  </si>
  <si>
    <t>Alerta às grávidas</t>
  </si>
  <si>
    <t>Sala de exames</t>
  </si>
  <si>
    <t xml:space="preserve">Arco Cirúrgico e RX Portátil </t>
  </si>
  <si>
    <t>Cabo disparador &gt;2m</t>
  </si>
  <si>
    <t>Sinal sonoro após 5min de exposição</t>
  </si>
  <si>
    <t>Sinal sonoro contínuo no modo "alto nível"</t>
  </si>
  <si>
    <t>Dist. foco-pele &gt;38cm para equip. fixos &gt;30cm para equip. móveis.</t>
  </si>
  <si>
    <t>Equipamento com Fluoroscopia</t>
  </si>
  <si>
    <t>Diafragma regulável</t>
  </si>
  <si>
    <t xml:space="preserve">Saiote Plumbífero inferior/lateral </t>
  </si>
  <si>
    <t>Biombo Plumbífero</t>
  </si>
  <si>
    <t>N/A</t>
  </si>
  <si>
    <t xml:space="preserve">Equipamentos Portáteis </t>
  </si>
  <si>
    <t>Equipamentos com Fluoroscopia</t>
  </si>
  <si>
    <t>Espes. (m)</t>
  </si>
  <si>
    <t>Foco:</t>
  </si>
  <si>
    <t xml:space="preserve">Velocidade do Receptor de Imagem </t>
  </si>
  <si>
    <t>Fator de retro-espalhamento (BSF)</t>
  </si>
  <si>
    <t>Distância foco filme (DFF):</t>
  </si>
  <si>
    <t>Nível de Referência (mGy)</t>
  </si>
  <si>
    <t>DEP 
 (mR)</t>
  </si>
  <si>
    <t>DEP 
(mGy)</t>
  </si>
  <si>
    <t>Incidência</t>
  </si>
  <si>
    <t>Velocidade Receptor de Imagem:</t>
  </si>
  <si>
    <t xml:space="preserve">Nível de Referência </t>
  </si>
  <si>
    <t>Fluoroscopia</t>
  </si>
  <si>
    <t>Pulsado</t>
  </si>
  <si>
    <t>Modo:</t>
  </si>
  <si>
    <t>Modo: Pulsado</t>
  </si>
  <si>
    <r>
      <t>Teste de Grade- Mesa (%)</t>
    </r>
    <r>
      <rPr>
        <sz val="12"/>
        <rFont val="Souvenir Lt BT"/>
      </rPr>
      <t xml:space="preserve"> </t>
    </r>
    <r>
      <rPr>
        <i/>
        <sz val="10"/>
        <rFont val="Souvenir Lt BT"/>
      </rPr>
      <t>As diferenças entre as dens. devem ser &lt; 10%</t>
    </r>
  </si>
  <si>
    <t>Limites recomendados- campo 23 a 25cm - (3 pares) 
campo 15 a 18cm - (4 pares)</t>
  </si>
  <si>
    <r>
      <t>Teste de Grade- Buck</t>
    </r>
    <r>
      <rPr>
        <sz val="12"/>
        <rFont val="Souvenir Lt BT"/>
      </rPr>
      <t xml:space="preserve"> </t>
    </r>
    <r>
      <rPr>
        <b/>
        <sz val="12"/>
        <rFont val="Souvenir Lt BT"/>
      </rPr>
      <t xml:space="preserve">(%) </t>
    </r>
    <r>
      <rPr>
        <i/>
        <sz val="10"/>
        <rFont val="Souvenir Lt BT"/>
      </rPr>
      <t>As diferenças entre as dens. devem ser &lt; 10%</t>
    </r>
  </si>
  <si>
    <t>Valor máximo de referência* (mGy/min):</t>
  </si>
  <si>
    <t>Limites Recomendados</t>
  </si>
  <si>
    <t>Modo: Normal Fluoroscopia</t>
  </si>
  <si>
    <r>
      <t xml:space="preserve">*Resolução nº 64 de 04 de abril de 2003. Item 4.2.4 - </t>
    </r>
    <r>
      <rPr>
        <i/>
        <sz val="10"/>
        <rFont val="Arial"/>
        <family val="2"/>
      </rPr>
      <t>"O valor da taxa de kerma no ar máxima na entrada da pele do paciente, com o controle de alto nível desativado, deve ser ≤ 87,0 mGy/min. O valor da taxa de kerma no ar máxima na entrada da pele, com o controle de alto nível ativado, deve ser ≤ 174,0 mGy/min."</t>
    </r>
  </si>
  <si>
    <t>*Resolução nº 64 de 04 de abril de 2003. Item 4.2.4 - "O valor da taxa de kerma no ar típica na entrada da pele, medida sob condições normais de operação, deve servir como linha de base para testes futuros."</t>
  </si>
  <si>
    <t xml:space="preserve">Pares visualizados:  </t>
  </si>
  <si>
    <t xml:space="preserve">Aceitável </t>
  </si>
  <si>
    <t>Desejável</t>
  </si>
  <si>
    <t xml:space="preserve">Fino </t>
  </si>
  <si>
    <t>Grosso</t>
  </si>
  <si>
    <t>Único</t>
  </si>
  <si>
    <t>Preencher apenas caso seja processamento convencional</t>
  </si>
  <si>
    <r>
      <rPr>
        <b/>
        <u/>
        <sz val="18"/>
        <rFont val="Arial"/>
        <family val="2"/>
      </rPr>
      <t>ORIENTAÇÕES SOBRE AS CÉLULAS</t>
    </r>
    <r>
      <rPr>
        <b/>
        <sz val="18"/>
        <rFont val="Arial"/>
        <family val="2"/>
      </rPr>
      <t xml:space="preserve">: 
</t>
    </r>
    <r>
      <rPr>
        <b/>
        <sz val="18"/>
        <color theme="3" tint="0.39997558519241921"/>
        <rFont val="Arial"/>
        <family val="2"/>
      </rPr>
      <t>Preenchimento condicional das células em azul claro</t>
    </r>
    <r>
      <rPr>
        <b/>
        <sz val="18"/>
        <rFont val="Arial"/>
        <family val="2"/>
      </rPr>
      <t xml:space="preserve">
</t>
    </r>
    <r>
      <rPr>
        <b/>
        <sz val="18"/>
        <color theme="9" tint="-0.249977111117893"/>
        <rFont val="Arial"/>
        <family val="2"/>
      </rPr>
      <t>Clicar e selecionar opção na lista das células laranja</t>
    </r>
    <r>
      <rPr>
        <b/>
        <sz val="18"/>
        <rFont val="Arial"/>
        <family val="2"/>
      </rPr>
      <t xml:space="preserve">
</t>
    </r>
    <r>
      <rPr>
        <b/>
        <sz val="18"/>
        <color theme="8" tint="-0.249977111117893"/>
        <rFont val="Arial"/>
        <family val="2"/>
      </rPr>
      <t>Células em azul marinho são preenchidas automaticamente ao utilizar os botões</t>
    </r>
  </si>
  <si>
    <t>Espessura (mmAl)</t>
  </si>
  <si>
    <t>Temperatura Água</t>
  </si>
  <si>
    <t>Linha de Base</t>
  </si>
  <si>
    <t>Normal Fluoroscopia</t>
  </si>
  <si>
    <t>Colimação do Eixo Central</t>
  </si>
  <si>
    <t>Colimação em Escopia</t>
  </si>
  <si>
    <t xml:space="preserve">Modo Avaliado: Normal - Fluoroscopia </t>
  </si>
  <si>
    <t>Modo Avaliado: Pulsado</t>
  </si>
  <si>
    <t>Modo: Normal - Fluoroscopia (Satisfatório: &lt; 50 mGy/min - Aceitável: &lt; 87 mGy/min)</t>
  </si>
  <si>
    <t>MODO: PULSADO</t>
  </si>
  <si>
    <t>MODO: NORMAL FLUOROSCOPIA</t>
  </si>
  <si>
    <t>22.Taxa de dose Típica em Escopia</t>
  </si>
  <si>
    <t>Taxa de Dose Típica em Escopia</t>
  </si>
  <si>
    <t xml:space="preserve">Aceitação: </t>
  </si>
  <si>
    <r>
      <t xml:space="preserve">Valor aceitável </t>
    </r>
    <r>
      <rPr>
        <i/>
        <u/>
        <sz val="10"/>
        <rFont val="Souvenir Lt BT"/>
      </rPr>
      <t>&lt;</t>
    </r>
    <r>
      <rPr>
        <i/>
        <sz val="10"/>
        <rFont val="Souvenir Lt BT"/>
      </rPr>
      <t xml:space="preserve"> 3% da Distância foco receptor</t>
    </r>
  </si>
  <si>
    <r>
      <t xml:space="preserve">Valor aceitável </t>
    </r>
    <r>
      <rPr>
        <i/>
        <u/>
        <sz val="10"/>
        <rFont val="Souvenir Lt BT"/>
      </rPr>
      <t>&lt;</t>
    </r>
    <r>
      <rPr>
        <i/>
        <sz val="10"/>
        <rFont val="Souvenir Lt BT"/>
      </rPr>
      <t xml:space="preserve"> 4% da Distância foco receptor</t>
    </r>
  </si>
  <si>
    <t>Modo: Normal - Fluoroscopia</t>
  </si>
  <si>
    <t>Obs.: Teste aplicável somente para Sistemas com Escopia</t>
  </si>
  <si>
    <r>
      <t>Média L</t>
    </r>
    <r>
      <rPr>
        <b/>
        <vertAlign val="subscript"/>
        <sz val="12"/>
        <rFont val="Souvenir Lt BT"/>
      </rPr>
      <t xml:space="preserve">0 </t>
    </r>
  </si>
  <si>
    <t xml:space="preserve">Valores de Referência 
Mínimos para 80 kVp </t>
  </si>
  <si>
    <t>Leitura (mR)</t>
  </si>
  <si>
    <t>Medida</t>
  </si>
  <si>
    <t>DFD: 100cm</t>
  </si>
  <si>
    <r>
      <t xml:space="preserve">A reprodutibilidade deve ser </t>
    </r>
    <r>
      <rPr>
        <i/>
        <u/>
        <sz val="10"/>
        <rFont val="Souvenir Lt BT"/>
      </rPr>
      <t>&lt;</t>
    </r>
    <r>
      <rPr>
        <i/>
        <sz val="10"/>
        <rFont val="Souvenir Lt BT"/>
      </rPr>
      <t xml:space="preserve"> 10% e a Linearidade </t>
    </r>
    <r>
      <rPr>
        <i/>
        <u/>
        <sz val="10"/>
        <rFont val="Souvenir Lt BT"/>
      </rPr>
      <t>&lt;</t>
    </r>
    <r>
      <rPr>
        <i/>
        <sz val="10"/>
        <rFont val="Souvenir Lt BT"/>
      </rPr>
      <t xml:space="preserve"> 20%   (DFD=distância foco-detector)</t>
    </r>
  </si>
  <si>
    <t>Químicos, Exaustão, Luz de segurança, Armaz. Filmes</t>
  </si>
  <si>
    <r>
      <t xml:space="preserve">Valor aceitável </t>
    </r>
    <r>
      <rPr>
        <i/>
        <u/>
        <sz val="10"/>
        <rFont val="Souvenir Lt BT"/>
      </rPr>
      <t>&lt;</t>
    </r>
    <r>
      <rPr>
        <i/>
        <sz val="10"/>
        <rFont val="Souvenir Lt BT"/>
      </rPr>
      <t xml:space="preserve"> 10%</t>
    </r>
  </si>
  <si>
    <t>(1) A diferença entre as dimensões do campo de raios-X e de sua imagem deve ser &lt;3% da DRF, nos eixos ortogonais. (2) A soma dos módulos dessas diferenças deve ser &lt; 4% da DRF.</t>
  </si>
  <si>
    <t>A diferença entre as bordas do campo de radiação e as bordas do campo de luz não deve exceder 2% DFF</t>
  </si>
  <si>
    <t>Tórax (RX Portátil)</t>
  </si>
  <si>
    <t>Abdômen (RX Portátil)</t>
  </si>
  <si>
    <t xml:space="preserve">Tórax Leito </t>
  </si>
  <si>
    <t xml:space="preserve">Abdômen Leito </t>
  </si>
  <si>
    <t>Abdômen Leito</t>
  </si>
  <si>
    <t>Tórax Leito</t>
  </si>
  <si>
    <t>2 e</t>
  </si>
  <si>
    <t>1 e</t>
  </si>
  <si>
    <t>1 d</t>
  </si>
  <si>
    <t>2 d</t>
  </si>
  <si>
    <t xml:space="preserve">(1) A grade anti-espalhamento é considerada alinhada quando: (C - 1e) = (C - 1d) e (C - 2e) = (C - 2d). As diferenças devem ser menores que 10%. </t>
  </si>
  <si>
    <t>15 / 16 - TESTE DE ALINHAMENTO DE GRADE</t>
  </si>
  <si>
    <t>Desvio</t>
  </si>
  <si>
    <t>Esquerdo</t>
  </si>
  <si>
    <t>Direito</t>
  </si>
  <si>
    <t>Superior</t>
  </si>
  <si>
    <t>Inferior</t>
  </si>
  <si>
    <t>Filtração de 2,5 a 5,0 mm de Al</t>
  </si>
  <si>
    <t>R (uGy/mAs)</t>
  </si>
  <si>
    <t>Filtração 2,5 mm de Al</t>
  </si>
  <si>
    <t>25,0 uGy/mAs</t>
  </si>
  <si>
    <t>30,0 a 65,0 uGy/mAs</t>
  </si>
  <si>
    <t>Este Relatório Contém 8 páginas</t>
  </si>
  <si>
    <t>CV (%)</t>
  </si>
  <si>
    <t>1 - VISTORIAS</t>
  </si>
  <si>
    <t>9 - REPRODUTIBILIDADE DO CONTROLE AUTOMÁTICO DE EXPOSIÇÃO (AEC)</t>
  </si>
  <si>
    <t>10 - CAMADA SEMI-REDUTORA</t>
  </si>
  <si>
    <t>11 - SISTEMA DE COLIMAÇÃO  DO EIXO CENTRAL DO FEIXE DE RAIOS-X</t>
  </si>
  <si>
    <t>12 - ALINHAMENTO DO EIXO CENTRAL DO FEIXE DE RAIOS-X</t>
  </si>
  <si>
    <t>17 - Sistema de Colimação do Eixo central do feixe de raios-x em Escopia</t>
  </si>
  <si>
    <t>18 - DOSE DE ENTRADA NA PELE</t>
  </si>
  <si>
    <t>Espesura 
(m)</t>
  </si>
  <si>
    <t>19 - Estabilizador de Brilho Automático</t>
  </si>
  <si>
    <t>20 - Discriminação de Baixo Contraste</t>
  </si>
  <si>
    <t>21 - Resolução Espacial de Alto Contraste</t>
  </si>
  <si>
    <t>22 - Máxima Taxa de kerma em Escopia</t>
  </si>
  <si>
    <t>23 - Taxa de Dose Típica em Escopia</t>
  </si>
  <si>
    <t>Desvio (%)</t>
  </si>
  <si>
    <t>Estado geral Vistoria</t>
  </si>
  <si>
    <t>Estado Geral das Vistorias</t>
  </si>
  <si>
    <t>Estado geral do Sistema de Processamento</t>
  </si>
  <si>
    <r>
      <t xml:space="preserve">0,20 </t>
    </r>
    <r>
      <rPr>
        <u/>
        <sz val="10"/>
        <rFont val="Souvenir Lt BT"/>
      </rPr>
      <t>+</t>
    </r>
    <r>
      <rPr>
        <sz val="10"/>
        <rFont val="Souvenir Lt BT"/>
      </rPr>
      <t>0,03</t>
    </r>
  </si>
  <si>
    <r>
      <t xml:space="preserve">0,45 </t>
    </r>
    <r>
      <rPr>
        <u/>
        <sz val="10"/>
        <rFont val="Souvenir Lt BT"/>
      </rPr>
      <t>+</t>
    </r>
    <r>
      <rPr>
        <sz val="10"/>
        <rFont val="Souvenir Lt BT"/>
      </rPr>
      <t xml:space="preserve"> 0,15</t>
    </r>
  </si>
  <si>
    <r>
      <t xml:space="preserve">1,2 </t>
    </r>
    <r>
      <rPr>
        <u/>
        <sz val="10"/>
        <rFont val="Souvenir Lt BT"/>
      </rPr>
      <t xml:space="preserve"> +</t>
    </r>
    <r>
      <rPr>
        <sz val="10"/>
        <rFont val="Souvenir Lt BT"/>
      </rPr>
      <t xml:space="preserve"> 0,15</t>
    </r>
  </si>
  <si>
    <r>
      <t xml:space="preserve">2,2 </t>
    </r>
    <r>
      <rPr>
        <u/>
        <sz val="10"/>
        <rFont val="Souvenir Lt BT"/>
      </rPr>
      <t>+</t>
    </r>
    <r>
      <rPr>
        <sz val="10"/>
        <rFont val="Souvenir Lt BT"/>
      </rPr>
      <t xml:space="preserve"> 0,15</t>
    </r>
  </si>
  <si>
    <r>
      <t xml:space="preserve">1,75 </t>
    </r>
    <r>
      <rPr>
        <u/>
        <sz val="10"/>
        <rFont val="Souvenir Lt BT"/>
      </rPr>
      <t>+</t>
    </r>
    <r>
      <rPr>
        <sz val="10"/>
        <rFont val="Souvenir Lt BT"/>
      </rPr>
      <t xml:space="preserve"> 0,15</t>
    </r>
  </si>
  <si>
    <t>Teste de Contato Tela Filme</t>
  </si>
  <si>
    <t>Quantidade</t>
  </si>
  <si>
    <t>Acessórios - EPI's</t>
  </si>
  <si>
    <t>003F</t>
  </si>
  <si>
    <t>Grupo Fleury - Unidade Braz Leme</t>
  </si>
  <si>
    <t>Av. Braz Leme, 2011</t>
  </si>
  <si>
    <t>São Paulo - SP</t>
  </si>
  <si>
    <t>Dr. Shri Krishna Jayanthi - CRM: 90874</t>
  </si>
  <si>
    <t>Raios X</t>
  </si>
  <si>
    <t>Philips</t>
  </si>
  <si>
    <t>Compact Plus 800</t>
  </si>
  <si>
    <t>PACF8701001</t>
  </si>
  <si>
    <t>XRAY-0118</t>
  </si>
  <si>
    <t>1,5 mm Al</t>
  </si>
  <si>
    <t>0,6 - 1,2 mm</t>
  </si>
  <si>
    <t>Valor de Referência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</si>
</sst>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
    <numFmt numFmtId="166" formatCode="0.000%"/>
    <numFmt numFmtId="167" formatCode="0.0%"/>
    <numFmt numFmtId="168" formatCode="0.000"/>
    <numFmt numFmtId="169" formatCode="0.0000"/>
  </numFmts>
  <fonts count="104">
    <font>
      <sz val="10"/>
      <name val="Arial"/>
    </font>
    <font>
      <sz val="10"/>
      <name val="Arial"/>
      <family val="2"/>
    </font>
    <font>
      <sz val="10"/>
      <name val="Souvenir Lt BT"/>
      <family val="1"/>
    </font>
    <font>
      <b/>
      <sz val="12"/>
      <name val="Souvenir Lt BT"/>
      <family val="1"/>
    </font>
    <font>
      <sz val="12"/>
      <name val="Souvenir Lt BT"/>
      <family val="1"/>
    </font>
    <font>
      <sz val="12"/>
      <name val="Souvenir Lt BT"/>
    </font>
    <font>
      <b/>
      <sz val="12"/>
      <name val="Souvenir Lt BT"/>
    </font>
    <font>
      <i/>
      <sz val="12"/>
      <name val="Souvenir Lt BT"/>
    </font>
    <font>
      <sz val="12"/>
      <color indexed="9"/>
      <name val="Souvenir Lt BT"/>
    </font>
    <font>
      <b/>
      <sz val="12"/>
      <color indexed="9"/>
      <name val="Souvenir Lt BT"/>
    </font>
    <font>
      <sz val="10"/>
      <name val="Souvenir Lt BT"/>
    </font>
    <font>
      <i/>
      <u/>
      <sz val="10"/>
      <name val="Souvenir Lt BT"/>
      <family val="1"/>
    </font>
    <font>
      <vertAlign val="subscript"/>
      <sz val="12"/>
      <name val="Souvenir Lt BT"/>
      <family val="1"/>
    </font>
    <font>
      <sz val="8"/>
      <color indexed="81"/>
      <name val="Tahoma"/>
      <family val="2"/>
    </font>
    <font>
      <b/>
      <sz val="8"/>
      <color indexed="81"/>
      <name val="Tahoma"/>
      <family val="2"/>
    </font>
    <font>
      <b/>
      <vertAlign val="subscript"/>
      <sz val="12"/>
      <name val="Souvenir Lt BT"/>
      <family val="1"/>
    </font>
    <font>
      <b/>
      <sz val="10"/>
      <name val="Souvenir Lt BT"/>
      <family val="1"/>
    </font>
    <font>
      <sz val="12"/>
      <name val="Arial"/>
      <family val="2"/>
    </font>
    <font>
      <b/>
      <sz val="14"/>
      <color indexed="21"/>
      <name val="Souvenir Lt BT"/>
    </font>
    <font>
      <b/>
      <sz val="14"/>
      <color indexed="8"/>
      <name val="Souvenir Lt BT"/>
    </font>
    <font>
      <i/>
      <sz val="10"/>
      <name val="Souvenir Lt BT"/>
    </font>
    <font>
      <sz val="8"/>
      <name val="Arial"/>
      <family val="2"/>
    </font>
    <font>
      <b/>
      <shadow/>
      <sz val="12"/>
      <name val="Times New Roman"/>
      <family val="1"/>
    </font>
    <font>
      <b/>
      <sz val="12"/>
      <name val="Times New Roman"/>
      <family val="1"/>
    </font>
    <font>
      <sz val="12"/>
      <name val="Times New Roman"/>
      <family val="1"/>
    </font>
    <font>
      <shadow/>
      <sz val="12"/>
      <name val="Times New Roman"/>
      <family val="1"/>
    </font>
    <font>
      <sz val="18"/>
      <name val="Times New Roman"/>
      <family val="1"/>
    </font>
    <font>
      <sz val="20"/>
      <name val="Times New Roman"/>
      <family val="1"/>
    </font>
    <font>
      <b/>
      <sz val="16"/>
      <name val="Times New Roman"/>
      <family val="1"/>
    </font>
    <font>
      <sz val="20"/>
      <name val="Arial"/>
      <family val="2"/>
    </font>
    <font>
      <sz val="20"/>
      <color indexed="18"/>
      <name val="Times New Roman"/>
      <family val="1"/>
    </font>
    <font>
      <sz val="18"/>
      <color indexed="18"/>
      <name val="Times New Roman"/>
      <family val="1"/>
    </font>
    <font>
      <b/>
      <sz val="20"/>
      <color indexed="21"/>
      <name val="Times New Roman"/>
      <family val="1"/>
    </font>
    <font>
      <sz val="11"/>
      <name val="Souvenir Lt BT"/>
    </font>
    <font>
      <sz val="14"/>
      <name val="Times New Roman"/>
      <family val="1"/>
    </font>
    <font>
      <b/>
      <sz val="14"/>
      <name val="Souvenir Lt BT"/>
    </font>
    <font>
      <b/>
      <sz val="10"/>
      <name val="Souvenir Lt BT"/>
    </font>
    <font>
      <b/>
      <sz val="10"/>
      <name val="Arial"/>
      <family val="2"/>
    </font>
    <font>
      <sz val="10"/>
      <name val="Arial"/>
      <family val="2"/>
    </font>
    <font>
      <u/>
      <sz val="10"/>
      <name val="Souvenir Lt BT"/>
    </font>
    <font>
      <sz val="12"/>
      <color indexed="10"/>
      <name val="Souvenir Lt BT"/>
    </font>
    <font>
      <sz val="10"/>
      <color indexed="9"/>
      <name val="Arial"/>
      <family val="2"/>
    </font>
    <font>
      <sz val="12"/>
      <color indexed="9"/>
      <name val="Souvenir Lt BT"/>
      <family val="1"/>
    </font>
    <font>
      <sz val="10"/>
      <color indexed="9"/>
      <name val="Arial"/>
      <family val="2"/>
    </font>
    <font>
      <i/>
      <u/>
      <sz val="10"/>
      <name val="Souvenir Lt BT"/>
    </font>
    <font>
      <b/>
      <u/>
      <sz val="12"/>
      <name val="Souvenir Lt BT"/>
    </font>
    <font>
      <sz val="10"/>
      <color indexed="81"/>
      <name val="Tahoma"/>
      <family val="2"/>
    </font>
    <font>
      <b/>
      <sz val="10"/>
      <color indexed="81"/>
      <name val="Tahoma"/>
      <family val="2"/>
    </font>
    <font>
      <b/>
      <sz val="12"/>
      <name val="Arial"/>
      <family val="2"/>
    </font>
    <font>
      <b/>
      <sz val="14"/>
      <name val="Arial"/>
      <family val="2"/>
    </font>
    <font>
      <b/>
      <shadow/>
      <sz val="14"/>
      <name val="Arial"/>
      <family val="2"/>
    </font>
    <font>
      <vertAlign val="superscript"/>
      <sz val="10"/>
      <name val="Arial"/>
      <family val="2"/>
    </font>
    <font>
      <b/>
      <sz val="9"/>
      <name val="Times New Roman"/>
      <family val="1"/>
    </font>
    <font>
      <sz val="9"/>
      <name val="Times New Roman"/>
      <family val="1"/>
    </font>
    <font>
      <sz val="8"/>
      <name val="Times New Roman"/>
      <family val="1"/>
    </font>
    <font>
      <sz val="10"/>
      <name val="Times New Roman"/>
      <family val="1"/>
    </font>
    <font>
      <sz val="16"/>
      <name val="Souvenir Lt BT"/>
    </font>
    <font>
      <b/>
      <sz val="22"/>
      <name val="Arial"/>
      <family val="2"/>
    </font>
    <font>
      <b/>
      <sz val="12"/>
      <color indexed="81"/>
      <name val="Tahoma"/>
      <family val="2"/>
    </font>
    <font>
      <sz val="12"/>
      <color indexed="81"/>
      <name val="Tahoma"/>
      <family val="2"/>
    </font>
    <font>
      <sz val="14"/>
      <name val="Arial"/>
      <family val="2"/>
    </font>
    <font>
      <b/>
      <sz val="12"/>
      <name val="Arial"/>
      <family val="2"/>
    </font>
    <font>
      <b/>
      <sz val="10"/>
      <name val="Arial"/>
      <family val="2"/>
    </font>
    <font>
      <sz val="12"/>
      <name val="Arial"/>
      <family val="2"/>
    </font>
    <font>
      <b/>
      <sz val="14"/>
      <name val="Times New Roman"/>
      <family val="1"/>
    </font>
    <font>
      <b/>
      <i/>
      <sz val="12"/>
      <color rgb="FFFF0000"/>
      <name val="Souvenir Lt BT"/>
    </font>
    <font>
      <sz val="12"/>
      <color rgb="FFFF0000"/>
      <name val="Souvenir Lt BT"/>
    </font>
    <font>
      <b/>
      <sz val="14"/>
      <color indexed="81"/>
      <name val="Tahoma"/>
      <family val="2"/>
    </font>
    <font>
      <sz val="14"/>
      <color indexed="81"/>
      <name val="Tahoma"/>
      <family val="2"/>
    </font>
    <font>
      <i/>
      <sz val="9"/>
      <name val="Souvenir Lt BT"/>
    </font>
    <font>
      <sz val="14"/>
      <name val="Souvenir Lt BT"/>
    </font>
    <font>
      <sz val="9"/>
      <color indexed="81"/>
      <name val="Tahoma"/>
      <family val="2"/>
    </font>
    <font>
      <b/>
      <i/>
      <sz val="12"/>
      <name val="Souvenir Lt BT"/>
    </font>
    <font>
      <sz val="18"/>
      <color indexed="81"/>
      <name val="Tahoma"/>
      <family val="2"/>
    </font>
    <font>
      <b/>
      <u/>
      <sz val="18"/>
      <color indexed="81"/>
      <name val="Tahoma"/>
      <family val="2"/>
    </font>
    <font>
      <b/>
      <i/>
      <sz val="18"/>
      <color indexed="81"/>
      <name val="Tahoma"/>
      <family val="2"/>
    </font>
    <font>
      <sz val="12"/>
      <color theme="0"/>
      <name val="Souvenir Lt BT"/>
    </font>
    <font>
      <sz val="9"/>
      <name val="Souvenir Lt BT"/>
    </font>
    <font>
      <b/>
      <vertAlign val="subscript"/>
      <sz val="12"/>
      <name val="Souvenir Lt BT"/>
    </font>
    <font>
      <sz val="26"/>
      <name val="Times New Roman"/>
      <family val="1"/>
    </font>
    <font>
      <sz val="16"/>
      <name val="Times New Roman"/>
      <family val="1"/>
    </font>
    <font>
      <sz val="12"/>
      <color theme="0"/>
      <name val="Arial"/>
      <family val="2"/>
    </font>
    <font>
      <b/>
      <i/>
      <sz val="18"/>
      <color rgb="FFFF0000"/>
      <name val="Arial"/>
      <family val="2"/>
    </font>
    <font>
      <b/>
      <sz val="18"/>
      <name val="Arial"/>
      <family val="2"/>
    </font>
    <font>
      <b/>
      <u/>
      <sz val="18"/>
      <name val="Arial"/>
      <family val="2"/>
    </font>
    <font>
      <b/>
      <sz val="18"/>
      <color theme="8" tint="-0.249977111117893"/>
      <name val="Arial"/>
      <family val="2"/>
    </font>
    <font>
      <b/>
      <sz val="18"/>
      <color theme="9" tint="-0.249977111117893"/>
      <name val="Arial"/>
      <family val="2"/>
    </font>
    <font>
      <b/>
      <sz val="18"/>
      <color theme="3" tint="0.39997558519241921"/>
      <name val="Arial"/>
      <family val="2"/>
    </font>
    <font>
      <b/>
      <u/>
      <sz val="12"/>
      <name val="Arial"/>
      <family val="2"/>
    </font>
    <font>
      <b/>
      <sz val="12"/>
      <color indexed="81"/>
      <name val="Segoe UI"/>
      <family val="2"/>
    </font>
    <font>
      <sz val="12"/>
      <color indexed="81"/>
      <name val="Segoe UI"/>
      <family val="2"/>
    </font>
    <font>
      <b/>
      <sz val="9"/>
      <color indexed="81"/>
      <name val="Tahoma"/>
      <family val="2"/>
    </font>
    <font>
      <b/>
      <sz val="8"/>
      <name val="Souv"/>
    </font>
    <font>
      <sz val="8"/>
      <name val="Souv"/>
    </font>
    <font>
      <sz val="12"/>
      <name val="Souv"/>
    </font>
    <font>
      <sz val="13"/>
      <name val="Souvenir Lt BT"/>
    </font>
    <font>
      <i/>
      <sz val="10"/>
      <name val="Arial"/>
      <family val="2"/>
    </font>
    <font>
      <u/>
      <sz val="12"/>
      <name val="Souvenir Lt BT"/>
    </font>
    <font>
      <b/>
      <sz val="13"/>
      <color indexed="81"/>
      <name val="Tahoma"/>
      <family val="2"/>
    </font>
    <font>
      <sz val="13"/>
      <color indexed="81"/>
      <name val="Tahoma"/>
      <family val="2"/>
    </font>
    <font>
      <sz val="12"/>
      <color theme="0" tint="-0.249977111117893"/>
      <name val="Souvenir Lt BT"/>
    </font>
    <font>
      <sz val="13"/>
      <name val="Souvenir Lt BT"/>
      <family val="1"/>
    </font>
    <font>
      <b/>
      <sz val="15"/>
      <color indexed="81"/>
      <name val="Tahoma"/>
      <family val="2"/>
    </font>
    <font>
      <b/>
      <sz val="9"/>
      <color indexed="81"/>
      <name val="Tahoma"/>
      <charset val="1"/>
    </font>
  </fonts>
  <fills count="12">
    <fill>
      <patternFill patternType="none"/>
    </fill>
    <fill>
      <patternFill patternType="gray125"/>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0" tint="-0.249977111117893"/>
        <bgColor indexed="64"/>
      </patternFill>
    </fill>
    <fill>
      <patternFill patternType="solid">
        <fgColor theme="9"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top style="thin">
        <color indexed="64"/>
      </top>
      <bottom style="thin">
        <color indexed="64"/>
      </bottom>
      <diagonal/>
    </border>
    <border>
      <left/>
      <right style="thin">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style="thin">
        <color indexed="64"/>
      </top>
      <bottom/>
      <diagonal/>
    </border>
  </borders>
  <cellStyleXfs count="4">
    <xf numFmtId="0" fontId="0" fillId="0" borderId="0"/>
    <xf numFmtId="9" fontId="1" fillId="0" borderId="0" applyFont="0" applyFill="0" applyBorder="0" applyAlignment="0" applyProtection="0"/>
    <xf numFmtId="164" fontId="1" fillId="0" borderId="0" applyFont="0" applyFill="0" applyBorder="0" applyAlignment="0" applyProtection="0"/>
    <xf numFmtId="0" fontId="1" fillId="0" borderId="0"/>
  </cellStyleXfs>
  <cellXfs count="1173">
    <xf numFmtId="0" fontId="0" fillId="0" borderId="0" xfId="0"/>
    <xf numFmtId="0" fontId="3" fillId="0" borderId="0" xfId="0" applyFont="1" applyFill="1" applyAlignment="1">
      <alignment horizontal="center"/>
    </xf>
    <xf numFmtId="0" fontId="4" fillId="0" borderId="0" xfId="0" applyFont="1" applyFill="1"/>
    <xf numFmtId="0" fontId="4" fillId="0" borderId="0" xfId="0" applyFont="1" applyFill="1" applyBorder="1" applyAlignment="1">
      <alignment horizontal="center"/>
    </xf>
    <xf numFmtId="0" fontId="5" fillId="0" borderId="0" xfId="0" applyFont="1"/>
    <xf numFmtId="0" fontId="5" fillId="0" borderId="1" xfId="0" applyFont="1" applyBorder="1" applyAlignment="1">
      <alignment horizontal="center"/>
    </xf>
    <xf numFmtId="0" fontId="5" fillId="0" borderId="0" xfId="0" applyFont="1" applyFill="1"/>
    <xf numFmtId="0" fontId="6" fillId="0" borderId="0" xfId="0" applyFont="1" applyFill="1" applyAlignment="1">
      <alignment horizontal="center"/>
    </xf>
    <xf numFmtId="0" fontId="5" fillId="0" borderId="0" xfId="0" applyFont="1" applyProtection="1">
      <protection hidden="1"/>
    </xf>
    <xf numFmtId="14" fontId="5" fillId="0" borderId="0" xfId="0" applyNumberFormat="1" applyFont="1" applyBorder="1" applyAlignment="1">
      <alignment horizontal="left"/>
    </xf>
    <xf numFmtId="0" fontId="5" fillId="0" borderId="0" xfId="0" applyFont="1" applyFill="1" applyBorder="1"/>
    <xf numFmtId="0" fontId="5" fillId="0" borderId="0" xfId="0" applyFont="1" applyFill="1" applyBorder="1" applyAlignment="1">
      <alignment horizontal="left"/>
    </xf>
    <xf numFmtId="0" fontId="5" fillId="0" borderId="0" xfId="0" applyFont="1" applyFill="1" applyAlignment="1">
      <alignment horizontal="center"/>
    </xf>
    <xf numFmtId="0" fontId="5" fillId="0" borderId="1" xfId="0" applyFont="1" applyFill="1" applyBorder="1" applyAlignment="1">
      <alignment horizontal="center"/>
    </xf>
    <xf numFmtId="165" fontId="5" fillId="0" borderId="1" xfId="0" applyNumberFormat="1" applyFont="1" applyFill="1" applyBorder="1" applyAlignment="1">
      <alignment horizontal="center"/>
    </xf>
    <xf numFmtId="165" fontId="5" fillId="0" borderId="1" xfId="0" applyNumberFormat="1" applyFont="1" applyBorder="1" applyAlignment="1">
      <alignment horizontal="center"/>
    </xf>
    <xf numFmtId="1" fontId="5" fillId="0" borderId="1" xfId="0" applyNumberFormat="1" applyFont="1" applyFill="1" applyBorder="1" applyAlignment="1">
      <alignment horizontal="center"/>
    </xf>
    <xf numFmtId="0" fontId="5" fillId="0" borderId="0" xfId="0" applyNumberFormat="1" applyFont="1" applyBorder="1" applyAlignment="1">
      <alignment horizontal="left"/>
    </xf>
    <xf numFmtId="0" fontId="6" fillId="0" borderId="0" xfId="0" applyFont="1" applyFill="1"/>
    <xf numFmtId="0" fontId="5" fillId="0" borderId="0" xfId="0" applyFont="1" applyFill="1" applyBorder="1" applyAlignment="1">
      <alignment horizontal="center"/>
    </xf>
    <xf numFmtId="0" fontId="6" fillId="0" borderId="0" xfId="0" applyFont="1" applyFill="1" applyBorder="1" applyAlignment="1">
      <alignment horizontal="center"/>
    </xf>
    <xf numFmtId="0" fontId="5" fillId="0" borderId="0" xfId="0" applyFont="1" applyBorder="1" applyAlignment="1">
      <alignment horizontal="left"/>
    </xf>
    <xf numFmtId="0" fontId="6" fillId="0" borderId="0" xfId="0" applyFont="1" applyFill="1" applyAlignment="1"/>
    <xf numFmtId="0" fontId="5" fillId="0" borderId="0" xfId="0" applyFont="1" applyFill="1" applyAlignment="1">
      <alignment horizontal="left"/>
    </xf>
    <xf numFmtId="0" fontId="4" fillId="0" borderId="0" xfId="0" applyFont="1" applyFill="1" applyBorder="1" applyAlignment="1">
      <alignment horizontal="left"/>
    </xf>
    <xf numFmtId="0" fontId="6" fillId="0" borderId="0" xfId="0" applyFont="1" applyFill="1" applyBorder="1" applyAlignment="1">
      <alignment horizontal="left"/>
    </xf>
    <xf numFmtId="0" fontId="5" fillId="0" borderId="1" xfId="0" applyFont="1" applyFill="1" applyBorder="1" applyAlignment="1">
      <alignment horizontal="left"/>
    </xf>
    <xf numFmtId="0" fontId="5" fillId="0" borderId="2" xfId="0" applyFont="1" applyFill="1" applyBorder="1" applyAlignment="1">
      <alignment horizontal="left"/>
    </xf>
    <xf numFmtId="49" fontId="5" fillId="0" borderId="1" xfId="0" applyNumberFormat="1" applyFont="1" applyFill="1" applyBorder="1" applyAlignment="1">
      <alignment horizontal="center"/>
    </xf>
    <xf numFmtId="0" fontId="5" fillId="0" borderId="1" xfId="0" applyFont="1" applyFill="1" applyBorder="1" applyAlignment="1"/>
    <xf numFmtId="2" fontId="5" fillId="0" borderId="1" xfId="0" applyNumberFormat="1" applyFont="1" applyFill="1" applyBorder="1" applyAlignment="1">
      <alignment horizontal="center"/>
    </xf>
    <xf numFmtId="0" fontId="6" fillId="2" borderId="0" xfId="0" applyFont="1" applyFill="1" applyBorder="1" applyAlignment="1">
      <alignment horizontal="center"/>
    </xf>
    <xf numFmtId="0" fontId="6" fillId="3" borderId="1" xfId="0" applyFont="1" applyFill="1" applyBorder="1" applyAlignment="1">
      <alignment horizontal="center"/>
    </xf>
    <xf numFmtId="0" fontId="6" fillId="0" borderId="1" xfId="0" applyFont="1" applyFill="1" applyBorder="1" applyAlignment="1">
      <alignment horizontal="center"/>
    </xf>
    <xf numFmtId="9" fontId="8" fillId="0" borderId="0" xfId="1" applyFont="1" applyFill="1" applyBorder="1" applyAlignment="1">
      <alignment horizontal="center"/>
    </xf>
    <xf numFmtId="9" fontId="8" fillId="0" borderId="0" xfId="0" applyNumberFormat="1" applyFont="1" applyFill="1" applyBorder="1" applyAlignment="1">
      <alignment horizontal="center"/>
    </xf>
    <xf numFmtId="10" fontId="8" fillId="0" borderId="0" xfId="0" applyNumberFormat="1" applyFont="1" applyFill="1" applyBorder="1" applyAlignment="1">
      <alignment horizontal="center"/>
    </xf>
    <xf numFmtId="0" fontId="8" fillId="0" borderId="0" xfId="0" applyFont="1" applyFill="1" applyAlignment="1">
      <alignment horizontal="center"/>
    </xf>
    <xf numFmtId="166" fontId="8" fillId="0" borderId="0" xfId="0" applyNumberFormat="1" applyFont="1" applyFill="1" applyBorder="1" applyAlignment="1">
      <alignment horizontal="center"/>
    </xf>
    <xf numFmtId="0" fontId="10" fillId="0" borderId="0" xfId="0" applyFont="1" applyFill="1" applyBorder="1" applyAlignment="1">
      <alignment horizontal="left"/>
    </xf>
    <xf numFmtId="0" fontId="6" fillId="4" borderId="1" xfId="0" applyFont="1" applyFill="1" applyBorder="1" applyAlignment="1">
      <alignment horizontal="center"/>
    </xf>
    <xf numFmtId="0" fontId="3" fillId="0" borderId="4" xfId="0" applyFont="1" applyFill="1" applyBorder="1" applyAlignment="1">
      <alignment horizontal="center"/>
    </xf>
    <xf numFmtId="165" fontId="5" fillId="0" borderId="0" xfId="0" applyNumberFormat="1" applyFont="1" applyFill="1" applyAlignment="1">
      <alignment horizontal="center"/>
    </xf>
    <xf numFmtId="169" fontId="5" fillId="0" borderId="0" xfId="0" applyNumberFormat="1" applyFont="1" applyFill="1" applyAlignment="1">
      <alignment horizontal="center"/>
    </xf>
    <xf numFmtId="0" fontId="3" fillId="0" borderId="0" xfId="0" applyFont="1" applyFill="1" applyBorder="1" applyAlignment="1">
      <alignment horizontal="left"/>
    </xf>
    <xf numFmtId="0" fontId="4" fillId="0" borderId="1" xfId="0" applyFont="1" applyFill="1" applyBorder="1" applyAlignment="1">
      <alignment horizontal="center"/>
    </xf>
    <xf numFmtId="0" fontId="4" fillId="0" borderId="0" xfId="0" applyFont="1" applyFill="1" applyBorder="1"/>
    <xf numFmtId="0" fontId="6" fillId="3" borderId="5" xfId="0" applyFont="1" applyFill="1" applyBorder="1" applyAlignment="1">
      <alignment horizontal="center"/>
    </xf>
    <xf numFmtId="0" fontId="4" fillId="0" borderId="0" xfId="0" applyFont="1" applyFill="1" applyBorder="1" applyProtection="1">
      <protection locked="0"/>
    </xf>
    <xf numFmtId="0" fontId="5" fillId="0" borderId="0" xfId="0" applyFont="1" applyFill="1" applyBorder="1" applyProtection="1">
      <protection locked="0"/>
    </xf>
    <xf numFmtId="1" fontId="5" fillId="0" borderId="0" xfId="0" applyNumberFormat="1" applyFont="1" applyFill="1" applyBorder="1" applyAlignment="1">
      <alignment horizontal="center"/>
    </xf>
    <xf numFmtId="0" fontId="3" fillId="0" borderId="1" xfId="0" applyFont="1" applyFill="1" applyBorder="1" applyAlignment="1">
      <alignment horizontal="center"/>
    </xf>
    <xf numFmtId="2" fontId="5" fillId="0" borderId="0" xfId="0" applyNumberFormat="1" applyFont="1" applyFill="1" applyAlignment="1">
      <alignment horizontal="center"/>
    </xf>
    <xf numFmtId="0" fontId="17" fillId="0" borderId="0" xfId="0" applyFont="1"/>
    <xf numFmtId="0" fontId="6" fillId="2" borderId="0" xfId="0" applyFont="1" applyFill="1" applyAlignment="1">
      <alignment horizontal="center"/>
    </xf>
    <xf numFmtId="0" fontId="6" fillId="2" borderId="1" xfId="0" applyFont="1" applyFill="1" applyBorder="1" applyAlignment="1">
      <alignment horizontal="center"/>
    </xf>
    <xf numFmtId="0" fontId="5" fillId="2" borderId="1" xfId="0" applyFont="1" applyFill="1" applyBorder="1"/>
    <xf numFmtId="2" fontId="5" fillId="2" borderId="1" xfId="0" applyNumberFormat="1" applyFont="1" applyFill="1" applyBorder="1" applyAlignment="1">
      <alignment horizontal="center"/>
    </xf>
    <xf numFmtId="0" fontId="5" fillId="2" borderId="2" xfId="0" applyFont="1" applyFill="1" applyBorder="1" applyAlignment="1"/>
    <xf numFmtId="0" fontId="5" fillId="2" borderId="3" xfId="0" applyFont="1" applyFill="1" applyBorder="1" applyAlignment="1"/>
    <xf numFmtId="0" fontId="18" fillId="2" borderId="0" xfId="0" applyFont="1" applyFill="1"/>
    <xf numFmtId="0" fontId="3" fillId="2" borderId="1" xfId="0" applyFont="1" applyFill="1" applyBorder="1" applyAlignment="1">
      <alignment horizontal="center"/>
    </xf>
    <xf numFmtId="0" fontId="3" fillId="2" borderId="0" xfId="0" applyFont="1" applyFill="1" applyAlignment="1">
      <alignment horizontal="center"/>
    </xf>
    <xf numFmtId="0" fontId="5" fillId="2" borderId="0" xfId="0" applyFont="1" applyFill="1" applyAlignment="1">
      <alignment horizontal="center"/>
    </xf>
    <xf numFmtId="0" fontId="6" fillId="2" borderId="2" xfId="0" applyFont="1" applyFill="1" applyBorder="1" applyAlignment="1">
      <alignment horizontal="center"/>
    </xf>
    <xf numFmtId="0" fontId="5" fillId="2" borderId="1" xfId="0" applyFont="1" applyFill="1" applyBorder="1" applyAlignment="1">
      <alignment horizontal="center"/>
    </xf>
    <xf numFmtId="165" fontId="5" fillId="2" borderId="1" xfId="0" applyNumberFormat="1" applyFont="1" applyFill="1" applyBorder="1" applyAlignment="1">
      <alignment horizontal="center"/>
    </xf>
    <xf numFmtId="168" fontId="5" fillId="2" borderId="1" xfId="0" applyNumberFormat="1" applyFont="1" applyFill="1" applyBorder="1" applyAlignment="1">
      <alignment horizontal="center"/>
    </xf>
    <xf numFmtId="2" fontId="5" fillId="2" borderId="0" xfId="0" applyNumberFormat="1" applyFont="1" applyFill="1" applyBorder="1" applyAlignment="1">
      <alignment horizontal="center"/>
    </xf>
    <xf numFmtId="2" fontId="5" fillId="2" borderId="0" xfId="0" applyNumberFormat="1" applyFont="1" applyFill="1" applyAlignment="1">
      <alignment horizontal="center"/>
    </xf>
    <xf numFmtId="169" fontId="16" fillId="2" borderId="1" xfId="0" applyNumberFormat="1" applyFont="1" applyFill="1" applyBorder="1" applyAlignment="1">
      <alignment horizontal="center"/>
    </xf>
    <xf numFmtId="2" fontId="6" fillId="0" borderId="0" xfId="0" applyNumberFormat="1" applyFont="1" applyFill="1" applyBorder="1" applyAlignment="1">
      <alignment horizontal="center"/>
    </xf>
    <xf numFmtId="0" fontId="23" fillId="0" borderId="0" xfId="0" applyFont="1" applyAlignment="1">
      <alignment horizontal="right"/>
    </xf>
    <xf numFmtId="0" fontId="28" fillId="0" borderId="0" xfId="0" applyFont="1" applyAlignment="1">
      <alignment horizontal="left"/>
    </xf>
    <xf numFmtId="0" fontId="27" fillId="0" borderId="0" xfId="0" applyFont="1" applyAlignment="1">
      <alignment horizontal="left"/>
    </xf>
    <xf numFmtId="0" fontId="29" fillId="0" borderId="0" xfId="0" applyFont="1" applyAlignment="1">
      <alignment horizontal="left"/>
    </xf>
    <xf numFmtId="0" fontId="1" fillId="0" borderId="0" xfId="0" applyFont="1"/>
    <xf numFmtId="0" fontId="30" fillId="0" borderId="0" xfId="0" applyFont="1" applyAlignment="1">
      <alignment horizontal="left"/>
    </xf>
    <xf numFmtId="0" fontId="31" fillId="0" borderId="0" xfId="0" applyFont="1"/>
    <xf numFmtId="0" fontId="32" fillId="0" borderId="0" xfId="0" applyFont="1" applyAlignment="1">
      <alignment horizontal="left"/>
    </xf>
    <xf numFmtId="0" fontId="33" fillId="0" borderId="0" xfId="0" applyFont="1" applyBorder="1" applyAlignment="1">
      <alignment horizontal="right"/>
    </xf>
    <xf numFmtId="0" fontId="26" fillId="0" borderId="0" xfId="0" applyFont="1"/>
    <xf numFmtId="0" fontId="34" fillId="0" borderId="0" xfId="0" applyFont="1"/>
    <xf numFmtId="0" fontId="19" fillId="0" borderId="0" xfId="0" applyFont="1" applyFill="1" applyBorder="1" applyAlignment="1">
      <alignment horizontal="left"/>
    </xf>
    <xf numFmtId="0" fontId="10" fillId="0" borderId="1" xfId="0" applyFont="1" applyFill="1" applyBorder="1" applyAlignment="1">
      <alignment horizontal="left"/>
    </xf>
    <xf numFmtId="0" fontId="7" fillId="0" borderId="0" xfId="0" applyFont="1" applyFill="1"/>
    <xf numFmtId="2" fontId="4" fillId="0" borderId="0" xfId="0" applyNumberFormat="1" applyFont="1" applyFill="1"/>
    <xf numFmtId="0" fontId="10" fillId="0" borderId="9" xfId="0" applyFont="1" applyFill="1" applyBorder="1" applyAlignment="1">
      <alignment horizontal="left"/>
    </xf>
    <xf numFmtId="10" fontId="5" fillId="0" borderId="0" xfId="0" applyNumberFormat="1" applyFont="1" applyFill="1" applyBorder="1" applyAlignment="1">
      <alignment horizontal="left"/>
    </xf>
    <xf numFmtId="0" fontId="3" fillId="0" borderId="2" xfId="0" applyFont="1" applyFill="1" applyBorder="1" applyAlignment="1">
      <alignment horizontal="center"/>
    </xf>
    <xf numFmtId="0" fontId="4" fillId="0" borderId="0" xfId="0" applyFont="1" applyFill="1" applyAlignment="1">
      <alignment horizontal="center"/>
    </xf>
    <xf numFmtId="10" fontId="5" fillId="0" borderId="0" xfId="1" applyNumberFormat="1" applyFont="1" applyFill="1" applyBorder="1" applyAlignment="1">
      <alignment horizontal="center"/>
    </xf>
    <xf numFmtId="2" fontId="4" fillId="0" borderId="11" xfId="0" applyNumberFormat="1" applyFont="1" applyFill="1" applyBorder="1" applyAlignment="1">
      <alignment horizontal="center"/>
    </xf>
    <xf numFmtId="0" fontId="3" fillId="0" borderId="0" xfId="0" applyFont="1" applyFill="1" applyBorder="1" applyAlignment="1">
      <alignment horizontal="center"/>
    </xf>
    <xf numFmtId="168" fontId="5" fillId="0" borderId="1" xfId="0" applyNumberFormat="1" applyFont="1" applyFill="1" applyBorder="1" applyAlignment="1">
      <alignment horizontal="center"/>
    </xf>
    <xf numFmtId="2" fontId="5" fillId="0" borderId="0" xfId="0" applyNumberFormat="1" applyFont="1" applyFill="1" applyBorder="1" applyAlignment="1">
      <alignment horizontal="center"/>
    </xf>
    <xf numFmtId="0" fontId="3" fillId="0" borderId="3" xfId="0" applyFont="1" applyFill="1" applyBorder="1" applyAlignment="1">
      <alignment horizontal="center"/>
    </xf>
    <xf numFmtId="0" fontId="2" fillId="0" borderId="0" xfId="0" applyFont="1" applyFill="1" applyBorder="1" applyAlignment="1" applyProtection="1">
      <alignment horizontal="left"/>
      <protection locked="0"/>
    </xf>
    <xf numFmtId="0" fontId="5" fillId="0" borderId="15" xfId="0" applyFont="1" applyFill="1" applyBorder="1"/>
    <xf numFmtId="2" fontId="5" fillId="0" borderId="16" xfId="0" applyNumberFormat="1" applyFont="1" applyFill="1" applyBorder="1" applyAlignment="1">
      <alignment horizontal="center"/>
    </xf>
    <xf numFmtId="0" fontId="8" fillId="0" borderId="0" xfId="0" applyFont="1" applyFill="1"/>
    <xf numFmtId="2" fontId="8" fillId="0" borderId="0" xfId="0" applyNumberFormat="1" applyFont="1" applyFill="1" applyAlignment="1">
      <alignment horizontal="center"/>
    </xf>
    <xf numFmtId="0" fontId="8" fillId="0" borderId="7" xfId="0" applyNumberFormat="1" applyFont="1" applyFill="1" applyBorder="1" applyAlignment="1">
      <alignment horizontal="center"/>
    </xf>
    <xf numFmtId="2" fontId="5" fillId="0" borderId="0" xfId="0" applyNumberFormat="1" applyFont="1" applyFill="1"/>
    <xf numFmtId="0" fontId="6" fillId="0" borderId="4" xfId="0" applyFont="1" applyFill="1" applyBorder="1" applyAlignment="1">
      <alignment horizontal="center"/>
    </xf>
    <xf numFmtId="0" fontId="5" fillId="0" borderId="0" xfId="0" applyFont="1" applyFill="1" applyProtection="1">
      <protection hidden="1"/>
    </xf>
    <xf numFmtId="14" fontId="5" fillId="0" borderId="0" xfId="0" applyNumberFormat="1" applyFont="1" applyFill="1" applyBorder="1" applyAlignment="1">
      <alignment horizontal="left"/>
    </xf>
    <xf numFmtId="0" fontId="5" fillId="0" borderId="0" xfId="0" applyNumberFormat="1" applyFont="1" applyFill="1" applyBorder="1" applyAlignment="1">
      <alignment horizontal="left"/>
    </xf>
    <xf numFmtId="167" fontId="5" fillId="0" borderId="1" xfId="1" applyNumberFormat="1" applyFont="1" applyFill="1" applyBorder="1" applyAlignment="1">
      <alignment horizontal="center"/>
    </xf>
    <xf numFmtId="0" fontId="5" fillId="0" borderId="0" xfId="0" applyFont="1" applyFill="1" applyAlignment="1">
      <alignment horizontal="center" textRotation="90"/>
    </xf>
    <xf numFmtId="0" fontId="5" fillId="0" borderId="2" xfId="0" applyFont="1" applyFill="1" applyBorder="1"/>
    <xf numFmtId="0" fontId="5" fillId="0" borderId="3" xfId="0" applyFont="1" applyFill="1" applyBorder="1"/>
    <xf numFmtId="165" fontId="5" fillId="0" borderId="0" xfId="0" applyNumberFormat="1" applyFont="1" applyFill="1" applyBorder="1" applyAlignment="1">
      <alignment horizontal="center"/>
    </xf>
    <xf numFmtId="0" fontId="6" fillId="0" borderId="0" xfId="0" applyFont="1" applyFill="1" applyAlignment="1">
      <alignment horizontal="left"/>
    </xf>
    <xf numFmtId="2" fontId="5" fillId="0" borderId="0" xfId="0" applyNumberFormat="1" applyFont="1" applyFill="1" applyBorder="1"/>
    <xf numFmtId="0" fontId="5" fillId="0" borderId="0" xfId="0" applyNumberFormat="1" applyFont="1" applyFill="1" applyBorder="1" applyAlignment="1">
      <alignment horizontal="center"/>
    </xf>
    <xf numFmtId="14" fontId="5" fillId="0" borderId="1" xfId="0" applyNumberFormat="1" applyFont="1" applyFill="1" applyBorder="1" applyAlignment="1">
      <alignment horizontal="center"/>
    </xf>
    <xf numFmtId="1" fontId="4" fillId="0" borderId="1" xfId="0" applyNumberFormat="1" applyFont="1" applyFill="1" applyBorder="1" applyAlignment="1">
      <alignment horizontal="center"/>
    </xf>
    <xf numFmtId="0" fontId="4" fillId="2" borderId="1" xfId="0" applyFont="1" applyFill="1" applyBorder="1" applyAlignment="1">
      <alignment horizontal="center"/>
    </xf>
    <xf numFmtId="1" fontId="6" fillId="0" borderId="3" xfId="0" applyNumberFormat="1" applyFont="1" applyFill="1" applyBorder="1" applyAlignment="1">
      <alignment horizontal="center"/>
    </xf>
    <xf numFmtId="0" fontId="5" fillId="0" borderId="17" xfId="0" applyFont="1" applyFill="1" applyBorder="1"/>
    <xf numFmtId="0" fontId="10" fillId="0" borderId="0" xfId="0" applyFont="1" applyFill="1" applyBorder="1" applyAlignment="1">
      <alignment horizontal="left" vertical="center"/>
    </xf>
    <xf numFmtId="0" fontId="6" fillId="0" borderId="18" xfId="0" applyFont="1" applyFill="1" applyBorder="1" applyAlignment="1">
      <alignment horizontal="center"/>
    </xf>
    <xf numFmtId="0" fontId="6" fillId="0" borderId="12" xfId="0" applyFont="1" applyFill="1" applyBorder="1" applyAlignment="1">
      <alignment horizontal="center"/>
    </xf>
    <xf numFmtId="2" fontId="6" fillId="0" borderId="19" xfId="0" applyNumberFormat="1" applyFont="1" applyFill="1" applyBorder="1" applyAlignment="1">
      <alignment horizontal="center"/>
    </xf>
    <xf numFmtId="0" fontId="3" fillId="2" borderId="0" xfId="0" applyFont="1" applyFill="1" applyBorder="1" applyAlignment="1">
      <alignment horizontal="center"/>
    </xf>
    <xf numFmtId="0" fontId="5" fillId="2" borderId="0" xfId="0" applyFont="1" applyFill="1" applyBorder="1" applyAlignment="1">
      <alignment horizontal="center"/>
    </xf>
    <xf numFmtId="165" fontId="5" fillId="2" borderId="2" xfId="0" applyNumberFormat="1" applyFont="1" applyFill="1" applyBorder="1" applyAlignment="1">
      <alignment horizontal="center"/>
    </xf>
    <xf numFmtId="2" fontId="5" fillId="2" borderId="2" xfId="0" applyNumberFormat="1" applyFont="1" applyFill="1" applyBorder="1" applyAlignment="1">
      <alignment horizontal="center"/>
    </xf>
    <xf numFmtId="168" fontId="5" fillId="2" borderId="2" xfId="0" applyNumberFormat="1" applyFont="1" applyFill="1" applyBorder="1" applyAlignment="1">
      <alignment horizontal="center"/>
    </xf>
    <xf numFmtId="0" fontId="6" fillId="3" borderId="4" xfId="0" applyFont="1" applyFill="1" applyBorder="1" applyAlignment="1">
      <alignment horizontal="center"/>
    </xf>
    <xf numFmtId="1" fontId="5" fillId="0" borderId="2" xfId="0" applyNumberFormat="1" applyFont="1" applyFill="1" applyBorder="1" applyAlignment="1">
      <alignment horizontal="center"/>
    </xf>
    <xf numFmtId="0" fontId="6" fillId="3" borderId="2" xfId="0" applyFont="1" applyFill="1" applyBorder="1" applyAlignment="1">
      <alignment horizontal="center"/>
    </xf>
    <xf numFmtId="0" fontId="6" fillId="4" borderId="2" xfId="0" applyFont="1" applyFill="1" applyBorder="1" applyAlignment="1">
      <alignment horizontal="center"/>
    </xf>
    <xf numFmtId="0" fontId="6" fillId="3" borderId="0" xfId="0" applyFont="1" applyFill="1" applyBorder="1" applyAlignment="1">
      <alignment horizontal="center"/>
    </xf>
    <xf numFmtId="0" fontId="6" fillId="4" borderId="0" xfId="0" applyFont="1" applyFill="1" applyBorder="1" applyAlignment="1">
      <alignment horizontal="center"/>
    </xf>
    <xf numFmtId="0" fontId="38" fillId="0" borderId="0" xfId="0" applyFont="1" applyFill="1"/>
    <xf numFmtId="0" fontId="38" fillId="0" borderId="0" xfId="0" applyFont="1" applyFill="1" applyBorder="1"/>
    <xf numFmtId="9" fontId="5" fillId="0" borderId="0" xfId="1" applyFont="1" applyFill="1" applyBorder="1" applyAlignment="1">
      <alignment horizontal="center"/>
    </xf>
    <xf numFmtId="9" fontId="5" fillId="0" borderId="0" xfId="0" applyNumberFormat="1" applyFont="1" applyFill="1" applyBorder="1" applyAlignment="1">
      <alignment horizontal="center"/>
    </xf>
    <xf numFmtId="10" fontId="5" fillId="0" borderId="0" xfId="0" applyNumberFormat="1" applyFont="1" applyFill="1" applyBorder="1" applyAlignment="1">
      <alignment horizontal="center"/>
    </xf>
    <xf numFmtId="166" fontId="5" fillId="0" borderId="0" xfId="0" applyNumberFormat="1" applyFont="1" applyFill="1" applyBorder="1" applyAlignment="1">
      <alignment horizontal="center"/>
    </xf>
    <xf numFmtId="0" fontId="5" fillId="0" borderId="4" xfId="0" applyFont="1" applyFill="1" applyBorder="1" applyAlignment="1">
      <alignment horizontal="center"/>
    </xf>
    <xf numFmtId="0" fontId="10" fillId="0" borderId="0" xfId="0" applyFont="1" applyFill="1" applyAlignment="1">
      <alignment horizontal="left"/>
    </xf>
    <xf numFmtId="0" fontId="10" fillId="0" borderId="0" xfId="0" applyFont="1" applyFill="1" applyBorder="1" applyAlignment="1">
      <alignment horizontal="center"/>
    </xf>
    <xf numFmtId="0" fontId="7" fillId="0" borderId="0" xfId="0" applyFont="1" applyFill="1" applyAlignment="1">
      <alignment horizontal="right"/>
    </xf>
    <xf numFmtId="165" fontId="7" fillId="0" borderId="0" xfId="0" applyNumberFormat="1" applyFont="1" applyFill="1" applyAlignment="1">
      <alignment horizontal="center"/>
    </xf>
    <xf numFmtId="0" fontId="7" fillId="0" borderId="0" xfId="0" applyFont="1" applyFill="1" applyAlignment="1">
      <alignment horizontal="left"/>
    </xf>
    <xf numFmtId="2" fontId="10" fillId="0" borderId="0" xfId="0" applyNumberFormat="1" applyFont="1" applyFill="1" applyBorder="1" applyAlignment="1">
      <alignment horizontal="center"/>
    </xf>
    <xf numFmtId="0" fontId="6" fillId="0" borderId="1" xfId="0" applyFont="1" applyFill="1" applyBorder="1"/>
    <xf numFmtId="10" fontId="5" fillId="0" borderId="0" xfId="1" applyNumberFormat="1" applyFont="1" applyFill="1"/>
    <xf numFmtId="9" fontId="5" fillId="0" borderId="0" xfId="1" applyFont="1" applyFill="1"/>
    <xf numFmtId="0" fontId="36" fillId="0" borderId="1" xfId="0" applyFont="1" applyFill="1" applyBorder="1" applyAlignment="1">
      <alignment horizontal="center"/>
    </xf>
    <xf numFmtId="0" fontId="41" fillId="0" borderId="0" xfId="0" applyFont="1" applyFill="1"/>
    <xf numFmtId="0" fontId="42" fillId="0" borderId="0" xfId="0" applyFont="1" applyFill="1" applyAlignment="1">
      <alignment horizontal="center"/>
    </xf>
    <xf numFmtId="0" fontId="43" fillId="0" borderId="0" xfId="0" applyFont="1" applyFill="1"/>
    <xf numFmtId="0" fontId="35" fillId="0" borderId="0" xfId="0" applyFont="1" applyFill="1" applyBorder="1" applyAlignment="1">
      <alignment horizontal="center"/>
    </xf>
    <xf numFmtId="0" fontId="20" fillId="0" borderId="0" xfId="0" applyFont="1" applyFill="1" applyBorder="1" applyAlignment="1">
      <alignment horizontal="left"/>
    </xf>
    <xf numFmtId="0" fontId="20" fillId="0" borderId="22" xfId="0" applyFont="1" applyFill="1" applyBorder="1" applyAlignment="1">
      <alignment horizontal="left"/>
    </xf>
    <xf numFmtId="0" fontId="35" fillId="2" borderId="0" xfId="0" applyFont="1" applyFill="1" applyBorder="1" applyAlignment="1">
      <alignment horizontal="left"/>
    </xf>
    <xf numFmtId="1" fontId="10" fillId="0" borderId="0" xfId="0" applyNumberFormat="1" applyFont="1" applyFill="1" applyBorder="1" applyAlignment="1">
      <alignment horizontal="center"/>
    </xf>
    <xf numFmtId="0" fontId="33" fillId="0" borderId="0" xfId="0" applyFont="1" applyFill="1" applyBorder="1"/>
    <xf numFmtId="0" fontId="5" fillId="0" borderId="24" xfId="0" applyFont="1" applyFill="1" applyBorder="1"/>
    <xf numFmtId="0" fontId="10" fillId="0" borderId="23" xfId="0" applyFont="1" applyFill="1" applyBorder="1" applyAlignment="1">
      <alignment horizontal="center"/>
    </xf>
    <xf numFmtId="0" fontId="10" fillId="0" borderId="23" xfId="0" applyFont="1" applyFill="1" applyBorder="1" applyAlignment="1">
      <alignment horizontal="left"/>
    </xf>
    <xf numFmtId="0" fontId="5" fillId="0" borderId="25" xfId="0" applyFont="1" applyFill="1" applyBorder="1"/>
    <xf numFmtId="0" fontId="5" fillId="0" borderId="0" xfId="0" applyFont="1" applyFill="1" applyBorder="1" applyAlignment="1">
      <alignment horizontal="right"/>
    </xf>
    <xf numFmtId="0" fontId="5" fillId="0" borderId="26" xfId="0" applyFont="1" applyFill="1" applyBorder="1"/>
    <xf numFmtId="0" fontId="5" fillId="0" borderId="27" xfId="0" applyFont="1" applyFill="1" applyBorder="1"/>
    <xf numFmtId="2" fontId="10" fillId="0" borderId="15" xfId="0" applyNumberFormat="1" applyFont="1" applyFill="1" applyBorder="1" applyAlignment="1">
      <alignment horizontal="center"/>
    </xf>
    <xf numFmtId="0" fontId="10" fillId="0" borderId="15" xfId="0" applyFont="1" applyFill="1" applyBorder="1" applyAlignment="1">
      <alignment horizontal="center"/>
    </xf>
    <xf numFmtId="0" fontId="5" fillId="0" borderId="28" xfId="0" applyFont="1" applyFill="1" applyBorder="1"/>
    <xf numFmtId="0" fontId="8" fillId="2" borderId="0" xfId="0" applyFont="1" applyFill="1"/>
    <xf numFmtId="0" fontId="5" fillId="0" borderId="1" xfId="0" quotePrefix="1" applyFont="1" applyFill="1" applyBorder="1" applyAlignment="1">
      <alignment horizontal="center"/>
    </xf>
    <xf numFmtId="0" fontId="40" fillId="0" borderId="0" xfId="0" applyFont="1" applyFill="1"/>
    <xf numFmtId="0" fontId="5" fillId="0" borderId="23" xfId="0" applyFont="1" applyFill="1" applyBorder="1"/>
    <xf numFmtId="0" fontId="5" fillId="0" borderId="17" xfId="0" applyFont="1" applyFill="1" applyBorder="1" applyAlignment="1">
      <alignment horizontal="center"/>
    </xf>
    <xf numFmtId="0" fontId="48" fillId="0" borderId="0" xfId="0" applyFont="1" applyFill="1" applyAlignment="1"/>
    <xf numFmtId="0" fontId="37" fillId="0" borderId="0" xfId="0" applyFont="1"/>
    <xf numFmtId="0" fontId="0" fillId="0" borderId="0" xfId="0" applyAlignment="1">
      <alignment horizontal="center"/>
    </xf>
    <xf numFmtId="0" fontId="52" fillId="0" borderId="25" xfId="0" applyFont="1" applyBorder="1" applyAlignment="1">
      <alignment horizontal="center" wrapText="1"/>
    </xf>
    <xf numFmtId="0" fontId="52" fillId="0" borderId="28" xfId="0" applyFont="1" applyBorder="1" applyAlignment="1">
      <alignment horizontal="center" wrapText="1"/>
    </xf>
    <xf numFmtId="0" fontId="53" fillId="0" borderId="29" xfId="0" applyFont="1" applyBorder="1" applyAlignment="1">
      <alignment vertical="top" wrapText="1"/>
    </xf>
    <xf numFmtId="0" fontId="53" fillId="0" borderId="28" xfId="0" applyFont="1" applyBorder="1" applyAlignment="1">
      <alignment horizontal="center" vertical="top" wrapText="1"/>
    </xf>
    <xf numFmtId="0" fontId="53" fillId="0" borderId="28" xfId="0" applyFont="1" applyBorder="1" applyAlignment="1">
      <alignment vertical="top" wrapText="1"/>
    </xf>
    <xf numFmtId="0" fontId="54" fillId="0" borderId="28" xfId="0" applyFont="1" applyBorder="1" applyAlignment="1">
      <alignment horizontal="center" vertical="top" wrapText="1"/>
    </xf>
    <xf numFmtId="11" fontId="53" fillId="0" borderId="28" xfId="0" applyNumberFormat="1" applyFont="1" applyBorder="1" applyAlignment="1">
      <alignment horizontal="center" vertical="top" wrapText="1"/>
    </xf>
    <xf numFmtId="0" fontId="55" fillId="0" borderId="28" xfId="0" applyFont="1" applyBorder="1" applyAlignment="1">
      <alignment vertical="top" wrapText="1"/>
    </xf>
    <xf numFmtId="2" fontId="53" fillId="0" borderId="28" xfId="0" applyNumberFormat="1" applyFont="1" applyBorder="1" applyAlignment="1">
      <alignment horizontal="center" vertical="top" wrapText="1"/>
    </xf>
    <xf numFmtId="0" fontId="55" fillId="0" borderId="29" xfId="0" applyFont="1" applyBorder="1" applyAlignment="1">
      <alignment vertical="top" wrapText="1"/>
    </xf>
    <xf numFmtId="0" fontId="3" fillId="0" borderId="0" xfId="0" applyFont="1" applyFill="1" applyBorder="1" applyAlignment="1">
      <alignment horizontal="right"/>
    </xf>
    <xf numFmtId="0" fontId="5" fillId="0" borderId="3" xfId="0" applyFont="1" applyFill="1" applyBorder="1" applyAlignment="1">
      <alignment horizontal="center"/>
    </xf>
    <xf numFmtId="0" fontId="0" fillId="0" borderId="0" xfId="0" applyAlignment="1">
      <alignment horizontal="left"/>
    </xf>
    <xf numFmtId="165" fontId="0" fillId="0" borderId="0" xfId="0" applyNumberFormat="1"/>
    <xf numFmtId="0" fontId="37" fillId="0" borderId="0" xfId="0" applyFont="1" applyAlignment="1">
      <alignment horizontal="center"/>
    </xf>
    <xf numFmtId="1" fontId="37" fillId="0" borderId="0" xfId="0" applyNumberFormat="1" applyFont="1" applyAlignment="1">
      <alignment horizontal="center"/>
    </xf>
    <xf numFmtId="1" fontId="53" fillId="0" borderId="28" xfId="0" applyNumberFormat="1" applyFont="1" applyBorder="1" applyAlignment="1">
      <alignment horizontal="center" vertical="top" wrapText="1"/>
    </xf>
    <xf numFmtId="0" fontId="0" fillId="0" borderId="0" xfId="0" applyBorder="1"/>
    <xf numFmtId="0" fontId="0" fillId="0" borderId="1" xfId="0" applyBorder="1"/>
    <xf numFmtId="0" fontId="5" fillId="0" borderId="3" xfId="0" applyFont="1" applyFill="1" applyBorder="1" applyAlignment="1">
      <alignment horizontal="left"/>
    </xf>
    <xf numFmtId="0" fontId="5" fillId="0" borderId="21" xfId="0" applyFont="1" applyFill="1" applyBorder="1" applyAlignment="1">
      <alignment horizontal="center"/>
    </xf>
    <xf numFmtId="0" fontId="48" fillId="0" borderId="0" xfId="0" applyFont="1"/>
    <xf numFmtId="0" fontId="17" fillId="0" borderId="1" xfId="0" applyFont="1" applyBorder="1"/>
    <xf numFmtId="0" fontId="60" fillId="0" borderId="1" xfId="0" applyFont="1" applyBorder="1"/>
    <xf numFmtId="0" fontId="17" fillId="0" borderId="1" xfId="0" applyFont="1" applyBorder="1" applyAlignment="1">
      <alignment horizontal="right"/>
    </xf>
    <xf numFmtId="2" fontId="17" fillId="0" borderId="1" xfId="0" applyNumberFormat="1" applyFont="1" applyBorder="1"/>
    <xf numFmtId="2" fontId="5" fillId="0" borderId="8" xfId="1" applyNumberFormat="1" applyFont="1" applyFill="1" applyBorder="1" applyAlignment="1">
      <alignment horizontal="center" vertical="center"/>
    </xf>
    <xf numFmtId="0" fontId="5" fillId="0" borderId="34" xfId="0" applyFont="1" applyFill="1" applyBorder="1" applyAlignment="1">
      <alignment horizontal="center" vertical="center"/>
    </xf>
    <xf numFmtId="0" fontId="5" fillId="0" borderId="8" xfId="0" applyFont="1" applyFill="1" applyBorder="1" applyAlignment="1">
      <alignment horizontal="center" vertical="center"/>
    </xf>
    <xf numFmtId="0" fontId="17" fillId="0" borderId="0" xfId="0" applyFont="1" applyBorder="1"/>
    <xf numFmtId="49" fontId="5" fillId="0" borderId="19" xfId="0" applyNumberFormat="1" applyFont="1" applyFill="1" applyBorder="1" applyAlignment="1">
      <alignment horizontal="center"/>
    </xf>
    <xf numFmtId="2" fontId="5" fillId="0" borderId="16" xfId="1" applyNumberFormat="1" applyFont="1" applyFill="1" applyBorder="1" applyAlignment="1">
      <alignment horizontal="center"/>
    </xf>
    <xf numFmtId="0" fontId="5" fillId="0" borderId="32" xfId="0" applyFont="1" applyFill="1" applyBorder="1" applyAlignment="1">
      <alignment horizontal="left"/>
    </xf>
    <xf numFmtId="0" fontId="5" fillId="0" borderId="21" xfId="0" applyFont="1" applyFill="1" applyBorder="1" applyAlignment="1">
      <alignment horizontal="left"/>
    </xf>
    <xf numFmtId="2" fontId="5" fillId="0" borderId="1" xfId="1" applyNumberFormat="1" applyFont="1" applyFill="1" applyBorder="1" applyAlignment="1">
      <alignment horizontal="center"/>
    </xf>
    <xf numFmtId="0" fontId="5" fillId="0" borderId="6" xfId="0" applyFont="1" applyFill="1" applyBorder="1" applyAlignment="1">
      <alignment horizontal="center"/>
    </xf>
    <xf numFmtId="0" fontId="5" fillId="0" borderId="8" xfId="0" applyFont="1" applyFill="1" applyBorder="1" applyAlignment="1">
      <alignment horizontal="center"/>
    </xf>
    <xf numFmtId="0" fontId="5" fillId="0" borderId="35" xfId="0" applyFont="1" applyFill="1" applyBorder="1" applyAlignment="1">
      <alignment horizontal="center"/>
    </xf>
    <xf numFmtId="0" fontId="5" fillId="0" borderId="36" xfId="0" applyFont="1" applyFill="1" applyBorder="1" applyAlignment="1">
      <alignment horizontal="left"/>
    </xf>
    <xf numFmtId="2" fontId="5" fillId="0" borderId="35" xfId="1" applyNumberFormat="1" applyFont="1" applyFill="1" applyBorder="1" applyAlignment="1">
      <alignment horizontal="center"/>
    </xf>
    <xf numFmtId="0" fontId="5" fillId="0" borderId="5" xfId="0" applyFont="1" applyFill="1" applyBorder="1" applyAlignment="1">
      <alignment horizontal="center"/>
    </xf>
    <xf numFmtId="0" fontId="5" fillId="0" borderId="4" xfId="0" applyFont="1" applyFill="1" applyBorder="1" applyAlignment="1">
      <alignment horizontal="left"/>
    </xf>
    <xf numFmtId="0" fontId="5" fillId="0" borderId="37" xfId="0" applyFont="1" applyFill="1" applyBorder="1" applyAlignment="1">
      <alignment horizontal="left"/>
    </xf>
    <xf numFmtId="168" fontId="5" fillId="0" borderId="1" xfId="1" applyNumberFormat="1" applyFont="1" applyFill="1" applyBorder="1" applyAlignment="1">
      <alignment horizontal="center"/>
    </xf>
    <xf numFmtId="168" fontId="5" fillId="0" borderId="35" xfId="1" applyNumberFormat="1" applyFont="1" applyFill="1" applyBorder="1" applyAlignment="1">
      <alignment horizontal="center"/>
    </xf>
    <xf numFmtId="0" fontId="5" fillId="0" borderId="16" xfId="0" applyFont="1" applyFill="1" applyBorder="1" applyAlignment="1">
      <alignment horizontal="center"/>
    </xf>
    <xf numFmtId="0" fontId="5" fillId="0" borderId="16" xfId="0" applyFont="1" applyFill="1" applyBorder="1" applyAlignment="1">
      <alignment horizontal="left"/>
    </xf>
    <xf numFmtId="168" fontId="5" fillId="0" borderId="16" xfId="0" applyNumberFormat="1" applyFont="1" applyFill="1" applyBorder="1" applyAlignment="1">
      <alignment horizontal="center"/>
    </xf>
    <xf numFmtId="0" fontId="5" fillId="0" borderId="35" xfId="0" applyFont="1" applyFill="1" applyBorder="1" applyAlignment="1">
      <alignment horizontal="left"/>
    </xf>
    <xf numFmtId="168" fontId="5" fillId="0" borderId="35" xfId="0" applyNumberFormat="1" applyFont="1" applyFill="1" applyBorder="1" applyAlignment="1">
      <alignment horizontal="center"/>
    </xf>
    <xf numFmtId="0" fontId="6" fillId="0" borderId="2" xfId="0" applyFont="1" applyFill="1" applyBorder="1" applyAlignment="1">
      <alignment horizontal="left"/>
    </xf>
    <xf numFmtId="2" fontId="6" fillId="0" borderId="34" xfId="1" applyNumberFormat="1" applyFont="1" applyFill="1" applyBorder="1" applyAlignment="1">
      <alignment horizontal="center" vertical="center"/>
    </xf>
    <xf numFmtId="2" fontId="5" fillId="0" borderId="1" xfId="1" applyNumberFormat="1" applyFont="1" applyFill="1" applyBorder="1" applyAlignment="1">
      <alignment horizontal="center" vertical="center"/>
    </xf>
    <xf numFmtId="0" fontId="5" fillId="0" borderId="1" xfId="0" applyFont="1" applyFill="1" applyBorder="1" applyAlignment="1">
      <alignment horizontal="center" vertical="center"/>
    </xf>
    <xf numFmtId="168" fontId="5" fillId="0" borderId="1" xfId="1" applyNumberFormat="1" applyFont="1" applyFill="1" applyBorder="1" applyAlignment="1">
      <alignment horizontal="center" vertical="center"/>
    </xf>
    <xf numFmtId="0" fontId="5" fillId="0" borderId="9" xfId="0" applyFont="1" applyFill="1" applyBorder="1" applyAlignment="1">
      <alignment horizontal="left"/>
    </xf>
    <xf numFmtId="2" fontId="5" fillId="0" borderId="38" xfId="1" applyNumberFormat="1" applyFont="1" applyFill="1" applyBorder="1" applyAlignment="1">
      <alignment horizontal="center" vertical="center"/>
    </xf>
    <xf numFmtId="0" fontId="5" fillId="0" borderId="38" xfId="0" applyFont="1" applyFill="1" applyBorder="1" applyAlignment="1">
      <alignment horizontal="center" vertical="center"/>
    </xf>
    <xf numFmtId="0" fontId="6"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vertical="center"/>
    </xf>
    <xf numFmtId="2" fontId="5" fillId="0" borderId="33" xfId="1" applyNumberFormat="1" applyFont="1" applyFill="1" applyBorder="1" applyAlignment="1">
      <alignment horizontal="center" vertical="center"/>
    </xf>
    <xf numFmtId="0" fontId="5" fillId="0" borderId="4" xfId="0" applyFont="1" applyFill="1" applyBorder="1" applyAlignment="1">
      <alignment horizontal="center" vertical="center"/>
    </xf>
    <xf numFmtId="0" fontId="5" fillId="0" borderId="18" xfId="0" applyFont="1" applyFill="1" applyBorder="1" applyAlignment="1">
      <alignment horizontal="center" vertical="center"/>
    </xf>
    <xf numFmtId="2" fontId="5" fillId="0" borderId="2" xfId="1" applyNumberFormat="1"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Font="1" applyFill="1" applyBorder="1" applyAlignment="1">
      <alignment horizontal="left" vertical="center"/>
    </xf>
    <xf numFmtId="2" fontId="5" fillId="0" borderId="0" xfId="1" applyNumberFormat="1" applyFont="1" applyFill="1" applyBorder="1" applyAlignment="1">
      <alignment horizontal="center" vertical="center"/>
    </xf>
    <xf numFmtId="9" fontId="5" fillId="0" borderId="0" xfId="1" applyFont="1" applyFill="1" applyBorder="1" applyAlignment="1">
      <alignment horizontal="center" vertical="center"/>
    </xf>
    <xf numFmtId="0" fontId="5" fillId="0" borderId="40" xfId="0" applyFont="1" applyFill="1" applyBorder="1" applyAlignment="1">
      <alignment horizontal="left"/>
    </xf>
    <xf numFmtId="0" fontId="5" fillId="0" borderId="41" xfId="0" applyFont="1" applyFill="1" applyBorder="1" applyAlignment="1">
      <alignment horizontal="left"/>
    </xf>
    <xf numFmtId="2" fontId="5" fillId="0" borderId="39" xfId="1" applyNumberFormat="1" applyFont="1" applyFill="1" applyBorder="1" applyAlignment="1">
      <alignment horizontal="center" vertical="center"/>
    </xf>
    <xf numFmtId="9" fontId="5" fillId="0" borderId="39" xfId="1" applyFont="1" applyFill="1" applyBorder="1" applyAlignment="1">
      <alignment horizontal="center" vertical="center"/>
    </xf>
    <xf numFmtId="0" fontId="33" fillId="0" borderId="12" xfId="0" applyFont="1" applyFill="1" applyBorder="1" applyAlignment="1">
      <alignment horizontal="left"/>
    </xf>
    <xf numFmtId="1" fontId="5" fillId="0" borderId="19" xfId="0" applyNumberFormat="1" applyFont="1" applyFill="1" applyBorder="1" applyAlignment="1">
      <alignment horizontal="center"/>
    </xf>
    <xf numFmtId="1" fontId="5" fillId="0" borderId="16" xfId="0" applyNumberFormat="1" applyFont="1" applyFill="1" applyBorder="1" applyAlignment="1">
      <alignment horizontal="center"/>
    </xf>
    <xf numFmtId="0" fontId="62" fillId="0" borderId="0" xfId="0" applyFont="1" applyFill="1"/>
    <xf numFmtId="0" fontId="64" fillId="0" borderId="0" xfId="0" applyFont="1"/>
    <xf numFmtId="0" fontId="0" fillId="0" borderId="0" xfId="0" applyBorder="1" applyAlignment="1"/>
    <xf numFmtId="1" fontId="6" fillId="0" borderId="0" xfId="0" applyNumberFormat="1" applyFont="1" applyFill="1" applyBorder="1" applyAlignment="1">
      <alignment horizontal="left"/>
    </xf>
    <xf numFmtId="2" fontId="4" fillId="0" borderId="1" xfId="0" applyNumberFormat="1" applyFont="1" applyFill="1" applyBorder="1" applyAlignment="1">
      <alignment horizontal="center"/>
    </xf>
    <xf numFmtId="2" fontId="4" fillId="0" borderId="1" xfId="0" applyNumberFormat="1" applyFont="1" applyBorder="1" applyAlignment="1">
      <alignment horizontal="center"/>
    </xf>
    <xf numFmtId="165" fontId="4" fillId="2" borderId="1" xfId="0" applyNumberFormat="1" applyFont="1" applyFill="1" applyBorder="1" applyAlignment="1">
      <alignment horizontal="center"/>
    </xf>
    <xf numFmtId="2" fontId="4" fillId="2" borderId="1" xfId="0" applyNumberFormat="1" applyFont="1" applyFill="1" applyBorder="1" applyAlignment="1">
      <alignment horizontal="center"/>
    </xf>
    <xf numFmtId="0" fontId="27" fillId="0" borderId="0" xfId="0" applyFont="1" applyBorder="1" applyAlignment="1">
      <alignment horizontal="left"/>
    </xf>
    <xf numFmtId="0" fontId="10" fillId="0" borderId="0" xfId="0" applyFont="1" applyFill="1" applyAlignment="1">
      <alignment horizontal="center"/>
    </xf>
    <xf numFmtId="49" fontId="5" fillId="0" borderId="0" xfId="0" applyNumberFormat="1" applyFont="1" applyFill="1" applyBorder="1" applyAlignment="1">
      <alignment horizontal="center"/>
    </xf>
    <xf numFmtId="49" fontId="5" fillId="2" borderId="0" xfId="0" applyNumberFormat="1" applyFont="1" applyFill="1" applyBorder="1" applyAlignment="1">
      <alignment horizontal="left"/>
    </xf>
    <xf numFmtId="0" fontId="0" fillId="0" borderId="0" xfId="0" applyBorder="1" applyAlignment="1">
      <alignment horizontal="center"/>
    </xf>
    <xf numFmtId="0" fontId="35" fillId="2" borderId="0" xfId="0" applyFont="1" applyFill="1" applyBorder="1" applyAlignment="1">
      <alignment horizontal="center"/>
    </xf>
    <xf numFmtId="2" fontId="17" fillId="0" borderId="0" xfId="0" applyNumberFormat="1" applyFont="1" applyBorder="1"/>
    <xf numFmtId="0" fontId="53" fillId="0" borderId="29" xfId="0" applyFont="1" applyBorder="1" applyAlignment="1">
      <alignment horizontal="left" vertical="center" wrapText="1"/>
    </xf>
    <xf numFmtId="0" fontId="53" fillId="0" borderId="29" xfId="0" applyFont="1" applyBorder="1" applyAlignment="1">
      <alignment vertical="center" wrapText="1"/>
    </xf>
    <xf numFmtId="0" fontId="53" fillId="0" borderId="28" xfId="0" applyFont="1" applyBorder="1" applyAlignment="1">
      <alignment horizontal="center" vertical="center" wrapText="1"/>
    </xf>
    <xf numFmtId="0" fontId="53" fillId="0" borderId="28" xfId="0" applyFont="1" applyBorder="1" applyAlignment="1">
      <alignment vertical="center" wrapText="1"/>
    </xf>
    <xf numFmtId="2" fontId="53" fillId="0" borderId="28" xfId="0" applyNumberFormat="1" applyFont="1" applyBorder="1" applyAlignment="1">
      <alignment horizontal="center" vertical="center" wrapText="1"/>
    </xf>
    <xf numFmtId="0" fontId="54" fillId="0" borderId="28" xfId="0" applyFont="1" applyBorder="1" applyAlignment="1">
      <alignment horizontal="center" vertical="center" wrapText="1"/>
    </xf>
    <xf numFmtId="1" fontId="53" fillId="0" borderId="28" xfId="0" applyNumberFormat="1" applyFont="1" applyBorder="1" applyAlignment="1">
      <alignment horizontal="center" vertical="center" wrapText="1"/>
    </xf>
    <xf numFmtId="11" fontId="53" fillId="0" borderId="28" xfId="0" applyNumberFormat="1" applyFont="1" applyBorder="1" applyAlignment="1">
      <alignment horizontal="center" vertical="center" wrapText="1"/>
    </xf>
    <xf numFmtId="0" fontId="0" fillId="0" borderId="0" xfId="0" applyAlignment="1">
      <alignment vertical="center"/>
    </xf>
    <xf numFmtId="0" fontId="17" fillId="0" borderId="0" xfId="0" applyFont="1" applyAlignment="1">
      <alignment vertical="center"/>
    </xf>
    <xf numFmtId="0" fontId="5" fillId="0" borderId="0" xfId="0" applyFont="1" applyFill="1" applyAlignment="1">
      <alignment horizontal="left"/>
    </xf>
    <xf numFmtId="0" fontId="4" fillId="0" borderId="0" xfId="0" applyFont="1" applyFill="1" applyAlignment="1">
      <alignment horizontal="center" vertical="center"/>
    </xf>
    <xf numFmtId="0" fontId="6"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66" fillId="0" borderId="0" xfId="0" applyFont="1" applyFill="1"/>
    <xf numFmtId="0" fontId="66" fillId="0" borderId="24" xfId="0" applyFont="1" applyFill="1" applyBorder="1" applyAlignment="1">
      <alignment horizontal="center" vertical="center"/>
    </xf>
    <xf numFmtId="0" fontId="66" fillId="0" borderId="23" xfId="0" applyFont="1" applyFill="1" applyBorder="1" applyAlignment="1">
      <alignment horizontal="center" vertical="center"/>
    </xf>
    <xf numFmtId="0" fontId="5" fillId="0" borderId="17" xfId="0" applyFont="1" applyFill="1" applyBorder="1" applyAlignment="1">
      <alignment horizontal="center" vertical="center"/>
    </xf>
    <xf numFmtId="0" fontId="7" fillId="0" borderId="17" xfId="0" applyFont="1" applyFill="1" applyBorder="1" applyAlignment="1">
      <alignment horizontal="center" vertical="center"/>
    </xf>
    <xf numFmtId="0" fontId="66" fillId="0" borderId="17" xfId="0" applyFont="1" applyFill="1" applyBorder="1" applyAlignment="1">
      <alignment horizontal="center" vertical="center"/>
    </xf>
    <xf numFmtId="0" fontId="66" fillId="0" borderId="0" xfId="0" applyFont="1" applyFill="1" applyBorder="1" applyAlignment="1">
      <alignment horizontal="center" vertical="center"/>
    </xf>
    <xf numFmtId="0" fontId="66" fillId="0" borderId="0" xfId="0" applyFont="1" applyFill="1" applyBorder="1" applyAlignment="1">
      <alignment horizontal="left" vertical="center"/>
    </xf>
    <xf numFmtId="0" fontId="66" fillId="0" borderId="0" xfId="0" applyFont="1" applyFill="1" applyBorder="1"/>
    <xf numFmtId="0" fontId="5" fillId="0" borderId="1" xfId="0" applyFont="1" applyFill="1" applyBorder="1" applyAlignment="1">
      <alignment horizontal="center"/>
    </xf>
    <xf numFmtId="0" fontId="5" fillId="0" borderId="0" xfId="0" applyFont="1" applyFill="1" applyAlignment="1">
      <alignment horizontal="left"/>
    </xf>
    <xf numFmtId="0" fontId="5" fillId="0" borderId="0" xfId="0" applyFont="1" applyFill="1" applyBorder="1" applyAlignment="1">
      <alignment horizontal="center"/>
    </xf>
    <xf numFmtId="0" fontId="6" fillId="0" borderId="0" xfId="0" applyFont="1" applyFill="1" applyBorder="1" applyAlignment="1">
      <alignment horizontal="left"/>
    </xf>
    <xf numFmtId="0" fontId="5" fillId="0" borderId="0" xfId="0" applyFont="1" applyFill="1" applyBorder="1" applyAlignment="1">
      <alignment horizontal="center"/>
    </xf>
    <xf numFmtId="2" fontId="8" fillId="0" borderId="0" xfId="1" applyNumberFormat="1" applyFont="1" applyFill="1" applyBorder="1" applyAlignment="1">
      <alignment horizontal="center"/>
    </xf>
    <xf numFmtId="0" fontId="20" fillId="0" borderId="18" xfId="0" applyFont="1" applyFill="1" applyBorder="1" applyAlignment="1"/>
    <xf numFmtId="0" fontId="20" fillId="0" borderId="0" xfId="0" applyFont="1" applyFill="1" applyBorder="1" applyAlignment="1"/>
    <xf numFmtId="0" fontId="20" fillId="0" borderId="0" xfId="0" applyFont="1" applyFill="1" applyBorder="1" applyAlignment="1">
      <alignment horizontal="left"/>
    </xf>
    <xf numFmtId="0" fontId="66" fillId="0" borderId="0" xfId="0" applyFont="1" applyFill="1" applyAlignment="1">
      <alignment wrapText="1"/>
    </xf>
    <xf numFmtId="0" fontId="33" fillId="0" borderId="22" xfId="0" applyFont="1" applyFill="1" applyBorder="1" applyAlignment="1">
      <alignment horizontal="left"/>
    </xf>
    <xf numFmtId="0" fontId="10" fillId="0" borderId="32" xfId="0" applyFont="1" applyFill="1" applyBorder="1" applyAlignment="1">
      <alignment horizontal="left"/>
    </xf>
    <xf numFmtId="0" fontId="10" fillId="0" borderId="4" xfId="0" applyFont="1" applyFill="1" applyBorder="1" applyAlignment="1">
      <alignment horizontal="center"/>
    </xf>
    <xf numFmtId="165" fontId="5" fillId="0" borderId="1" xfId="1" applyNumberFormat="1" applyFont="1" applyFill="1" applyBorder="1" applyAlignment="1">
      <alignment horizontal="center"/>
    </xf>
    <xf numFmtId="0" fontId="33" fillId="0" borderId="0" xfId="0" applyFont="1" applyFill="1" applyBorder="1" applyAlignment="1">
      <alignment horizontal="left"/>
    </xf>
    <xf numFmtId="0" fontId="5" fillId="0" borderId="1" xfId="0" applyNumberFormat="1" applyFont="1" applyFill="1" applyBorder="1" applyAlignment="1">
      <alignment horizontal="center"/>
    </xf>
    <xf numFmtId="0" fontId="5" fillId="0" borderId="14" xfId="0" applyFont="1" applyFill="1" applyBorder="1" applyAlignment="1">
      <alignment horizontal="left"/>
    </xf>
    <xf numFmtId="2" fontId="5" fillId="0" borderId="38" xfId="1" applyNumberFormat="1" applyFont="1" applyFill="1" applyBorder="1" applyAlignment="1">
      <alignment horizontal="center"/>
    </xf>
    <xf numFmtId="0" fontId="5" fillId="0" borderId="45" xfId="0" applyFont="1" applyFill="1" applyBorder="1" applyAlignment="1">
      <alignment horizontal="center"/>
    </xf>
    <xf numFmtId="2" fontId="5" fillId="0" borderId="8" xfId="1" applyNumberFormat="1" applyFont="1" applyFill="1" applyBorder="1" applyAlignment="1">
      <alignment horizontal="center"/>
    </xf>
    <xf numFmtId="0" fontId="1" fillId="0" borderId="0" xfId="3"/>
    <xf numFmtId="1" fontId="5" fillId="0" borderId="0" xfId="3" applyNumberFormat="1" applyFont="1" applyFill="1" applyBorder="1" applyAlignment="1">
      <alignment horizontal="center"/>
    </xf>
    <xf numFmtId="0" fontId="6" fillId="0" borderId="0" xfId="3" applyFont="1" applyFill="1"/>
    <xf numFmtId="0" fontId="35" fillId="2" borderId="0" xfId="3" applyFont="1" applyFill="1" applyBorder="1" applyAlignment="1">
      <alignment horizontal="center"/>
    </xf>
    <xf numFmtId="1" fontId="5" fillId="0" borderId="0" xfId="3" applyNumberFormat="1" applyFont="1" applyFill="1" applyBorder="1" applyAlignment="1">
      <alignment horizontal="left"/>
    </xf>
    <xf numFmtId="1" fontId="72" fillId="0" borderId="1" xfId="3" applyNumberFormat="1" applyFont="1" applyFill="1" applyBorder="1" applyAlignment="1">
      <alignment horizontal="center"/>
    </xf>
    <xf numFmtId="1" fontId="5" fillId="0" borderId="1" xfId="3" applyNumberFormat="1" applyFont="1" applyFill="1" applyBorder="1" applyAlignment="1">
      <alignment horizontal="center"/>
    </xf>
    <xf numFmtId="165" fontId="5" fillId="0" borderId="1" xfId="3" applyNumberFormat="1" applyFont="1" applyFill="1" applyBorder="1" applyAlignment="1">
      <alignment horizontal="center"/>
    </xf>
    <xf numFmtId="0" fontId="17" fillId="0" borderId="0" xfId="3" applyFont="1"/>
    <xf numFmtId="0" fontId="17" fillId="0" borderId="0" xfId="3" applyFont="1" applyBorder="1" applyAlignment="1">
      <alignment horizontal="center"/>
    </xf>
    <xf numFmtId="0" fontId="1" fillId="0" borderId="0" xfId="3" applyBorder="1"/>
    <xf numFmtId="0" fontId="21" fillId="0" borderId="0" xfId="3" applyFont="1"/>
    <xf numFmtId="0" fontId="21" fillId="0" borderId="0" xfId="3" applyFont="1" applyBorder="1"/>
    <xf numFmtId="165" fontId="5" fillId="0" borderId="0" xfId="3" applyNumberFormat="1" applyFont="1" applyBorder="1" applyAlignment="1">
      <alignment horizontal="center"/>
    </xf>
    <xf numFmtId="2" fontId="5" fillId="0" borderId="1" xfId="3" applyNumberFormat="1" applyFont="1" applyFill="1" applyBorder="1" applyAlignment="1">
      <alignment horizontal="center"/>
    </xf>
    <xf numFmtId="165" fontId="6" fillId="0" borderId="13" xfId="3" applyNumberFormat="1" applyFont="1" applyFill="1" applyBorder="1" applyAlignment="1">
      <alignment horizontal="center"/>
    </xf>
    <xf numFmtId="0" fontId="6" fillId="0" borderId="0" xfId="3" applyFont="1" applyFill="1" applyBorder="1" applyAlignment="1">
      <alignment horizontal="left"/>
    </xf>
    <xf numFmtId="0" fontId="5" fillId="0" borderId="0" xfId="3" applyFont="1" applyFill="1"/>
    <xf numFmtId="0" fontId="5" fillId="0" borderId="0" xfId="3" applyFont="1" applyFill="1" applyBorder="1" applyAlignment="1">
      <alignment horizontal="left"/>
    </xf>
    <xf numFmtId="0" fontId="5" fillId="0" borderId="0" xfId="3" applyFont="1" applyFill="1" applyBorder="1" applyAlignment="1">
      <alignment horizontal="center"/>
    </xf>
    <xf numFmtId="0" fontId="5" fillId="0" borderId="0" xfId="3" applyFont="1" applyFill="1" applyAlignment="1">
      <alignment horizontal="center"/>
    </xf>
    <xf numFmtId="0" fontId="6" fillId="0" borderId="1" xfId="3" applyFont="1" applyFill="1" applyBorder="1" applyAlignment="1">
      <alignment horizontal="center"/>
    </xf>
    <xf numFmtId="0" fontId="5" fillId="0" borderId="1" xfId="3" applyFont="1" applyFill="1" applyBorder="1" applyAlignment="1">
      <alignment horizontal="center"/>
    </xf>
    <xf numFmtId="0" fontId="8" fillId="0" borderId="0" xfId="3" applyFont="1" applyFill="1" applyBorder="1" applyAlignment="1">
      <alignment horizontal="center"/>
    </xf>
    <xf numFmtId="0" fontId="33" fillId="0" borderId="0" xfId="3" applyFont="1" applyFill="1" applyBorder="1" applyAlignment="1">
      <alignment horizontal="left" vertical="center" wrapText="1"/>
    </xf>
    <xf numFmtId="0" fontId="70" fillId="0" borderId="0" xfId="0" applyFont="1" applyFill="1" applyBorder="1" applyAlignment="1">
      <alignment horizontal="left"/>
    </xf>
    <xf numFmtId="0" fontId="70" fillId="0" borderId="15" xfId="0" applyFont="1" applyFill="1" applyBorder="1" applyAlignment="1">
      <alignment horizontal="left"/>
    </xf>
    <xf numFmtId="0" fontId="70" fillId="0" borderId="7" xfId="0" applyFont="1" applyFill="1" applyBorder="1" applyAlignment="1">
      <alignment horizontal="left"/>
    </xf>
    <xf numFmtId="0" fontId="70" fillId="0" borderId="37" xfId="0" applyFont="1" applyFill="1" applyBorder="1" applyAlignment="1">
      <alignment horizontal="left"/>
    </xf>
    <xf numFmtId="0" fontId="5" fillId="0" borderId="0" xfId="0" applyFont="1" applyFill="1" applyAlignment="1">
      <alignment horizontal="left"/>
    </xf>
    <xf numFmtId="0" fontId="35" fillId="2" borderId="0" xfId="3" applyFont="1" applyFill="1" applyBorder="1" applyAlignment="1"/>
    <xf numFmtId="0" fontId="1" fillId="0" borderId="0" xfId="3" applyFill="1"/>
    <xf numFmtId="0" fontId="19" fillId="0" borderId="0" xfId="3" applyFont="1" applyFill="1" applyBorder="1" applyAlignment="1">
      <alignment horizontal="center"/>
    </xf>
    <xf numFmtId="0" fontId="35" fillId="0" borderId="0" xfId="3" applyFont="1" applyFill="1" applyBorder="1" applyAlignment="1"/>
    <xf numFmtId="0" fontId="35" fillId="0" borderId="0" xfId="3" applyFont="1" applyFill="1" applyBorder="1" applyAlignment="1">
      <alignment horizontal="center"/>
    </xf>
    <xf numFmtId="0" fontId="5" fillId="0" borderId="27" xfId="0" applyFont="1" applyFill="1" applyBorder="1" applyAlignment="1">
      <alignment horizontal="center" vertical="center"/>
    </xf>
    <xf numFmtId="0" fontId="1" fillId="0" borderId="52" xfId="3" applyFill="1" applyBorder="1" applyAlignment="1">
      <alignment horizontal="center"/>
    </xf>
    <xf numFmtId="0" fontId="1" fillId="0" borderId="53" xfId="3" applyBorder="1" applyAlignment="1">
      <alignment horizontal="center"/>
    </xf>
    <xf numFmtId="168" fontId="1" fillId="0" borderId="52" xfId="3" applyNumberFormat="1" applyBorder="1" applyAlignment="1">
      <alignment horizontal="center"/>
    </xf>
    <xf numFmtId="168" fontId="1" fillId="0" borderId="53" xfId="3" applyNumberFormat="1" applyBorder="1" applyAlignment="1">
      <alignment horizontal="center"/>
    </xf>
    <xf numFmtId="168" fontId="1" fillId="0" borderId="54" xfId="3" applyNumberFormat="1" applyBorder="1" applyAlignment="1">
      <alignment horizontal="center"/>
    </xf>
    <xf numFmtId="168" fontId="1" fillId="0" borderId="55" xfId="3" applyNumberFormat="1" applyBorder="1" applyAlignment="1">
      <alignment horizontal="center"/>
    </xf>
    <xf numFmtId="0" fontId="17" fillId="0" borderId="0" xfId="0" applyFont="1" applyProtection="1"/>
    <xf numFmtId="0" fontId="23" fillId="0" borderId="0" xfId="0" applyFont="1" applyAlignment="1" applyProtection="1">
      <alignment horizontal="right"/>
    </xf>
    <xf numFmtId="0" fontId="22" fillId="0" borderId="0" xfId="0" applyFont="1" applyAlignment="1" applyProtection="1">
      <alignment horizontal="left"/>
    </xf>
    <xf numFmtId="0" fontId="23" fillId="0" borderId="0" xfId="0" applyFont="1" applyAlignment="1" applyProtection="1">
      <alignment horizontal="left"/>
    </xf>
    <xf numFmtId="14" fontId="24" fillId="0" borderId="0" xfId="0" applyNumberFormat="1" applyFont="1" applyAlignment="1" applyProtection="1">
      <alignment horizontal="left"/>
    </xf>
    <xf numFmtId="0" fontId="25" fillId="0" borderId="0" xfId="0" applyFont="1" applyAlignment="1" applyProtection="1">
      <alignment horizontal="left"/>
    </xf>
    <xf numFmtId="0" fontId="23" fillId="0" borderId="0" xfId="0" applyFont="1" applyAlignment="1" applyProtection="1">
      <alignment horizontal="left" vertical="top"/>
    </xf>
    <xf numFmtId="0" fontId="25" fillId="0" borderId="0" xfId="0" applyFont="1" applyAlignment="1" applyProtection="1">
      <alignment horizontal="left" vertical="top" wrapText="1"/>
    </xf>
    <xf numFmtId="0" fontId="25" fillId="0" borderId="0" xfId="0" applyFont="1" applyAlignment="1" applyProtection="1">
      <alignment wrapText="1"/>
    </xf>
    <xf numFmtId="0" fontId="24" fillId="0" borderId="0" xfId="0" applyFont="1" applyBorder="1" applyAlignment="1" applyProtection="1">
      <alignment horizontal="left"/>
    </xf>
    <xf numFmtId="0" fontId="24" fillId="0" borderId="0" xfId="0" applyFont="1" applyAlignment="1" applyProtection="1">
      <alignment horizontal="left"/>
    </xf>
    <xf numFmtId="0" fontId="5" fillId="0" borderId="0" xfId="0" applyNumberFormat="1" applyFont="1" applyBorder="1" applyAlignment="1" applyProtection="1">
      <alignment horizontal="left"/>
    </xf>
    <xf numFmtId="0" fontId="17" fillId="0" borderId="0" xfId="0" applyFont="1" applyBorder="1" applyProtection="1"/>
    <xf numFmtId="17" fontId="24" fillId="0" borderId="0" xfId="0" applyNumberFormat="1" applyFont="1" applyAlignment="1" applyProtection="1">
      <alignment horizontal="left"/>
    </xf>
    <xf numFmtId="14" fontId="25" fillId="0" borderId="0" xfId="0" applyNumberFormat="1" applyFont="1" applyAlignment="1" applyProtection="1">
      <alignment horizontal="left"/>
    </xf>
    <xf numFmtId="0" fontId="61" fillId="0" borderId="0" xfId="0" applyFont="1" applyProtection="1"/>
    <xf numFmtId="0" fontId="24" fillId="0" borderId="0" xfId="0" applyFont="1" applyAlignment="1" applyProtection="1">
      <alignment horizontal="center"/>
    </xf>
    <xf numFmtId="2" fontId="76" fillId="0" borderId="0" xfId="3" applyNumberFormat="1" applyFont="1" applyFill="1" applyBorder="1" applyAlignment="1">
      <alignment horizontal="center"/>
    </xf>
    <xf numFmtId="0" fontId="1" fillId="0" borderId="0" xfId="3" applyFont="1" applyBorder="1"/>
    <xf numFmtId="0" fontId="28" fillId="0" borderId="0" xfId="0" applyFont="1" applyAlignment="1"/>
    <xf numFmtId="0" fontId="6" fillId="0" borderId="0" xfId="0" applyFont="1" applyFill="1" applyBorder="1" applyAlignment="1">
      <alignment horizontal="left"/>
    </xf>
    <xf numFmtId="0" fontId="10" fillId="0" borderId="0" xfId="0" applyFont="1" applyFill="1" applyBorder="1" applyAlignment="1">
      <alignment horizontal="left"/>
    </xf>
    <xf numFmtId="0" fontId="5" fillId="0" borderId="0" xfId="0" applyFont="1" applyFill="1" applyAlignment="1">
      <alignment horizontal="left"/>
    </xf>
    <xf numFmtId="0" fontId="5" fillId="0" borderId="0" xfId="0" applyFont="1" applyFill="1" applyBorder="1" applyAlignment="1">
      <alignment horizontal="center"/>
    </xf>
    <xf numFmtId="0" fontId="10" fillId="0" borderId="9" xfId="0" applyFont="1" applyFill="1" applyBorder="1" applyAlignment="1">
      <alignment horizontal="left"/>
    </xf>
    <xf numFmtId="0" fontId="5" fillId="0" borderId="15" xfId="0" applyFont="1" applyFill="1" applyBorder="1" applyAlignment="1">
      <alignment horizontal="left"/>
    </xf>
    <xf numFmtId="165" fontId="4" fillId="0" borderId="33" xfId="0" applyNumberFormat="1" applyFont="1" applyFill="1" applyBorder="1" applyAlignment="1">
      <alignment horizontal="center"/>
    </xf>
    <xf numFmtId="0" fontId="5" fillId="0" borderId="7" xfId="0" applyFont="1" applyFill="1" applyBorder="1" applyAlignment="1">
      <alignment horizont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1" fontId="70" fillId="0" borderId="1" xfId="3" applyNumberFormat="1" applyFont="1" applyFill="1" applyBorder="1" applyAlignment="1">
      <alignment horizontal="center"/>
    </xf>
    <xf numFmtId="10" fontId="5" fillId="0" borderId="1" xfId="3" applyNumberFormat="1" applyFont="1" applyFill="1" applyBorder="1" applyAlignment="1">
      <alignment horizontal="center" vertical="center"/>
    </xf>
    <xf numFmtId="0" fontId="1" fillId="0" borderId="0" xfId="3" applyAlignment="1">
      <alignment vertical="center"/>
    </xf>
    <xf numFmtId="0" fontId="1" fillId="0" borderId="0" xfId="3" applyBorder="1" applyAlignment="1">
      <alignment vertical="center"/>
    </xf>
    <xf numFmtId="1" fontId="5" fillId="0" borderId="0" xfId="3" applyNumberFormat="1" applyFont="1" applyFill="1" applyBorder="1" applyAlignment="1">
      <alignment horizontal="center" vertical="center"/>
    </xf>
    <xf numFmtId="0" fontId="33" fillId="0" borderId="0" xfId="3" applyFont="1" applyFill="1" applyBorder="1" applyAlignment="1">
      <alignment vertical="center" wrapText="1"/>
    </xf>
    <xf numFmtId="0" fontId="10" fillId="0" borderId="22" xfId="0" applyFont="1" applyFill="1" applyBorder="1" applyAlignment="1">
      <alignment horizontal="left"/>
    </xf>
    <xf numFmtId="0" fontId="10" fillId="0" borderId="0" xfId="0" applyFont="1" applyFill="1" applyBorder="1" applyAlignment="1">
      <alignment vertical="center" wrapText="1"/>
    </xf>
    <xf numFmtId="165" fontId="5" fillId="0" borderId="17" xfId="0" applyNumberFormat="1" applyFont="1" applyFill="1" applyBorder="1" applyAlignment="1">
      <alignment horizontal="center"/>
    </xf>
    <xf numFmtId="165" fontId="5" fillId="0" borderId="30" xfId="0" applyNumberFormat="1" applyFont="1" applyFill="1" applyBorder="1" applyAlignment="1">
      <alignment horizontal="center"/>
    </xf>
    <xf numFmtId="165" fontId="5" fillId="0" borderId="43" xfId="0" applyNumberFormat="1" applyFont="1" applyFill="1" applyBorder="1" applyAlignment="1">
      <alignment horizontal="center"/>
    </xf>
    <xf numFmtId="165" fontId="5" fillId="0" borderId="27" xfId="0" applyNumberFormat="1" applyFont="1" applyFill="1" applyBorder="1" applyAlignment="1">
      <alignment horizontal="center"/>
    </xf>
    <xf numFmtId="2" fontId="5" fillId="0" borderId="4" xfId="0" applyNumberFormat="1" applyFont="1" applyFill="1" applyBorder="1" applyAlignment="1">
      <alignment horizontal="center"/>
    </xf>
    <xf numFmtId="2" fontId="5" fillId="0" borderId="15" xfId="0" applyNumberFormat="1" applyFont="1" applyFill="1" applyBorder="1" applyAlignment="1">
      <alignment horizontal="center"/>
    </xf>
    <xf numFmtId="0" fontId="5" fillId="0" borderId="26" xfId="0" applyFont="1" applyFill="1" applyBorder="1" applyAlignment="1">
      <alignment horizontal="left"/>
    </xf>
    <xf numFmtId="2" fontId="5" fillId="0" borderId="26" xfId="0" applyNumberFormat="1" applyFont="1" applyFill="1" applyBorder="1" applyAlignment="1">
      <alignment horizontal="center"/>
    </xf>
    <xf numFmtId="2" fontId="5" fillId="0" borderId="31" xfId="0" applyNumberFormat="1" applyFont="1" applyFill="1" applyBorder="1" applyAlignment="1">
      <alignment horizontal="center"/>
    </xf>
    <xf numFmtId="2" fontId="5" fillId="0" borderId="28" xfId="0" applyNumberFormat="1" applyFont="1" applyFill="1" applyBorder="1" applyAlignment="1">
      <alignment horizontal="center"/>
    </xf>
    <xf numFmtId="2" fontId="5" fillId="0" borderId="1" xfId="0" applyNumberFormat="1" applyFont="1" applyFill="1" applyBorder="1" applyAlignment="1">
      <alignment horizontal="center" vertical="center"/>
    </xf>
    <xf numFmtId="167" fontId="5" fillId="0" borderId="1" xfId="1" applyNumberFormat="1" applyFont="1" applyFill="1" applyBorder="1" applyAlignment="1">
      <alignment horizontal="center" vertical="center"/>
    </xf>
    <xf numFmtId="0" fontId="10" fillId="6" borderId="48" xfId="0" applyFont="1" applyFill="1" applyBorder="1" applyAlignment="1">
      <alignment horizontal="left"/>
    </xf>
    <xf numFmtId="0" fontId="6" fillId="0" borderId="22" xfId="0" applyFont="1" applyFill="1" applyBorder="1" applyAlignment="1">
      <alignment horizontal="left"/>
    </xf>
    <xf numFmtId="0" fontId="10" fillId="0" borderId="0" xfId="0" applyFont="1" applyFill="1" applyAlignment="1">
      <alignment horizontal="center" vertical="center"/>
    </xf>
    <xf numFmtId="0" fontId="33" fillId="0" borderId="0" xfId="0" applyFont="1" applyFill="1" applyAlignment="1">
      <alignment horizontal="center" vertical="center"/>
    </xf>
    <xf numFmtId="0" fontId="5" fillId="0" borderId="6" xfId="0" applyFont="1" applyFill="1" applyBorder="1" applyAlignment="1">
      <alignment horizontal="center" vertical="center"/>
    </xf>
    <xf numFmtId="0" fontId="5" fillId="0" borderId="49" xfId="0" applyFont="1" applyFill="1" applyBorder="1" applyAlignment="1">
      <alignment horizontal="center" vertical="center"/>
    </xf>
    <xf numFmtId="0" fontId="5" fillId="0" borderId="29" xfId="0" applyFont="1" applyFill="1" applyBorder="1" applyAlignment="1">
      <alignment horizontal="center" vertical="center"/>
    </xf>
    <xf numFmtId="165" fontId="5" fillId="0" borderId="0" xfId="0" applyNumberFormat="1" applyFont="1" applyFill="1" applyBorder="1" applyAlignment="1">
      <alignment horizontal="center" vertical="center"/>
    </xf>
    <xf numFmtId="165" fontId="5" fillId="0" borderId="4" xfId="0" applyNumberFormat="1" applyFont="1" applyFill="1" applyBorder="1" applyAlignment="1">
      <alignment horizontal="center" vertical="center"/>
    </xf>
    <xf numFmtId="165" fontId="5" fillId="0" borderId="18" xfId="0" applyNumberFormat="1" applyFont="1" applyFill="1" applyBorder="1" applyAlignment="1">
      <alignment horizontal="center" vertical="center"/>
    </xf>
    <xf numFmtId="0" fontId="20" fillId="0" borderId="0" xfId="0" applyFont="1" applyFill="1" applyBorder="1" applyAlignment="1">
      <alignment horizontal="left" vertical="center"/>
    </xf>
    <xf numFmtId="0" fontId="20" fillId="0" borderId="27" xfId="0" applyFont="1" applyFill="1" applyBorder="1" applyAlignment="1">
      <alignment horizontal="left" vertical="center"/>
    </xf>
    <xf numFmtId="0" fontId="70" fillId="0" borderId="40" xfId="0" applyFont="1" applyFill="1" applyBorder="1" applyAlignment="1">
      <alignment horizontal="left"/>
    </xf>
    <xf numFmtId="0" fontId="5" fillId="0" borderId="1" xfId="0" applyFont="1" applyFill="1" applyBorder="1" applyAlignment="1">
      <alignment horizontal="left"/>
    </xf>
    <xf numFmtId="0" fontId="5" fillId="0" borderId="1" xfId="0" applyFont="1" applyFill="1" applyBorder="1" applyAlignment="1">
      <alignment horizontal="center"/>
    </xf>
    <xf numFmtId="0" fontId="10" fillId="0" borderId="15" xfId="0" applyFont="1" applyFill="1" applyBorder="1" applyAlignment="1">
      <alignment horizontal="left"/>
    </xf>
    <xf numFmtId="0" fontId="23" fillId="0" borderId="0" xfId="3" applyFont="1"/>
    <xf numFmtId="0" fontId="55" fillId="0" borderId="0" xfId="3" applyFont="1"/>
    <xf numFmtId="0" fontId="24" fillId="0" borderId="0" xfId="3" applyFont="1"/>
    <xf numFmtId="49" fontId="24" fillId="0" borderId="0" xfId="3" applyNumberFormat="1" applyFont="1"/>
    <xf numFmtId="0" fontId="79" fillId="0" borderId="0" xfId="3" applyFont="1" applyAlignment="1">
      <alignment horizontal="center"/>
    </xf>
    <xf numFmtId="0" fontId="80" fillId="0" borderId="0" xfId="3" applyFont="1" applyFill="1" applyBorder="1" applyAlignment="1">
      <alignment vertical="justify"/>
    </xf>
    <xf numFmtId="0" fontId="34" fillId="0" borderId="0" xfId="3" applyFont="1" applyFill="1" applyBorder="1" applyAlignment="1">
      <alignment vertical="justify"/>
    </xf>
    <xf numFmtId="0" fontId="55" fillId="0" borderId="0" xfId="3" applyFont="1" applyBorder="1"/>
    <xf numFmtId="0" fontId="24" fillId="0" borderId="0" xfId="3" applyFont="1" applyAlignment="1">
      <alignment horizontal="center" vertical="center" wrapText="1"/>
    </xf>
    <xf numFmtId="0" fontId="24" fillId="0" borderId="0" xfId="3" applyFont="1" applyAlignment="1">
      <alignment vertical="center" wrapText="1"/>
    </xf>
    <xf numFmtId="0" fontId="80" fillId="0" borderId="0" xfId="3" applyNumberFormat="1" applyFont="1" applyFill="1" applyBorder="1" applyAlignment="1">
      <alignment vertical="justify"/>
    </xf>
    <xf numFmtId="0" fontId="80" fillId="0" borderId="0" xfId="3" applyFont="1"/>
    <xf numFmtId="0" fontId="80" fillId="0" borderId="0" xfId="3" applyFont="1" applyAlignment="1">
      <alignment horizontal="center"/>
    </xf>
    <xf numFmtId="0" fontId="80" fillId="0" borderId="0" xfId="3" applyFont="1" applyAlignment="1">
      <alignment vertical="center" wrapText="1"/>
    </xf>
    <xf numFmtId="0" fontId="26" fillId="0" borderId="0" xfId="3" applyFont="1" applyFill="1" applyBorder="1" applyAlignment="1">
      <alignment vertical="justify"/>
    </xf>
    <xf numFmtId="0" fontId="24" fillId="0" borderId="0" xfId="3" applyFont="1" applyAlignment="1">
      <alignment horizontal="center"/>
    </xf>
    <xf numFmtId="0" fontId="55" fillId="0" borderId="0" xfId="3" applyFont="1" applyAlignment="1">
      <alignment horizontal="center"/>
    </xf>
    <xf numFmtId="0" fontId="5" fillId="0" borderId="34" xfId="0" applyFont="1" applyFill="1" applyBorder="1" applyAlignment="1">
      <alignment horizontal="center"/>
    </xf>
    <xf numFmtId="0" fontId="5" fillId="0" borderId="39" xfId="0" applyFont="1" applyFill="1" applyBorder="1" applyAlignment="1">
      <alignment horizontal="center"/>
    </xf>
    <xf numFmtId="0" fontId="5" fillId="0" borderId="39" xfId="0" applyFont="1" applyFill="1" applyBorder="1" applyAlignment="1">
      <alignment horizontal="left"/>
    </xf>
    <xf numFmtId="168" fontId="5" fillId="0" borderId="39" xfId="0" applyNumberFormat="1" applyFont="1" applyFill="1" applyBorder="1" applyAlignment="1">
      <alignment horizontal="center"/>
    </xf>
    <xf numFmtId="0" fontId="5" fillId="0" borderId="51" xfId="0" applyFont="1" applyFill="1" applyBorder="1" applyAlignment="1">
      <alignment horizontal="center"/>
    </xf>
    <xf numFmtId="0" fontId="5" fillId="0" borderId="53" xfId="0" applyFont="1" applyFill="1" applyBorder="1" applyAlignment="1">
      <alignment horizontal="center"/>
    </xf>
    <xf numFmtId="0" fontId="5" fillId="0" borderId="55" xfId="0" applyFont="1" applyFill="1" applyBorder="1" applyAlignment="1">
      <alignment horizontal="center"/>
    </xf>
    <xf numFmtId="0" fontId="5" fillId="0" borderId="62" xfId="0" applyFont="1" applyFill="1" applyBorder="1" applyAlignment="1">
      <alignment horizontal="center"/>
    </xf>
    <xf numFmtId="0" fontId="6" fillId="0" borderId="0" xfId="0" applyFont="1" applyFill="1" applyBorder="1" applyAlignment="1">
      <alignment horizontal="left"/>
    </xf>
    <xf numFmtId="0" fontId="5" fillId="0" borderId="1" xfId="0" applyFont="1" applyFill="1" applyBorder="1" applyAlignment="1">
      <alignment horizontal="center"/>
    </xf>
    <xf numFmtId="0" fontId="5" fillId="0" borderId="0" xfId="0" applyFont="1" applyFill="1" applyAlignment="1">
      <alignment horizontal="left"/>
    </xf>
    <xf numFmtId="0" fontId="5" fillId="0" borderId="0" xfId="0" applyFont="1" applyFill="1" applyBorder="1" applyAlignment="1">
      <alignment horizontal="center"/>
    </xf>
    <xf numFmtId="1" fontId="5" fillId="0" borderId="0" xfId="3" applyNumberFormat="1" applyFont="1" applyFill="1" applyBorder="1" applyAlignment="1">
      <alignment horizontal="center"/>
    </xf>
    <xf numFmtId="0" fontId="17" fillId="0" borderId="0" xfId="0" applyFont="1" applyAlignment="1">
      <alignment horizontal="center"/>
    </xf>
    <xf numFmtId="49" fontId="5" fillId="2" borderId="0" xfId="0" applyNumberFormat="1" applyFont="1" applyFill="1" applyBorder="1" applyAlignment="1">
      <alignment horizontal="center"/>
    </xf>
    <xf numFmtId="0" fontId="1" fillId="0" borderId="0" xfId="3" applyAlignment="1">
      <alignment horizontal="center"/>
    </xf>
    <xf numFmtId="1" fontId="6" fillId="0" borderId="0" xfId="3" applyNumberFormat="1" applyFont="1" applyFill="1" applyBorder="1" applyAlignment="1">
      <alignment horizontal="center"/>
    </xf>
    <xf numFmtId="0" fontId="17" fillId="0" borderId="0" xfId="0" applyFont="1" applyFill="1" applyBorder="1"/>
    <xf numFmtId="0" fontId="17" fillId="0" borderId="0" xfId="3" applyFont="1" applyBorder="1"/>
    <xf numFmtId="1" fontId="72" fillId="0" borderId="53" xfId="3" applyNumberFormat="1" applyFont="1" applyFill="1" applyBorder="1" applyAlignment="1">
      <alignment horizontal="center"/>
    </xf>
    <xf numFmtId="0" fontId="5" fillId="8" borderId="1" xfId="0" applyFont="1" applyFill="1" applyBorder="1"/>
    <xf numFmtId="0" fontId="6" fillId="0" borderId="1" xfId="0" applyFont="1" applyFill="1" applyBorder="1" applyAlignment="1">
      <alignment horizontal="center"/>
    </xf>
    <xf numFmtId="0" fontId="70" fillId="0" borderId="1" xfId="3" applyFont="1" applyBorder="1" applyAlignment="1">
      <alignment horizontal="center"/>
    </xf>
    <xf numFmtId="1" fontId="6" fillId="5" borderId="24" xfId="3" applyNumberFormat="1" applyFont="1" applyFill="1" applyBorder="1" applyAlignment="1">
      <alignment horizontal="center"/>
    </xf>
    <xf numFmtId="1" fontId="6" fillId="5" borderId="23" xfId="3" applyNumberFormat="1" applyFont="1" applyFill="1" applyBorder="1" applyAlignment="1">
      <alignment horizontal="center"/>
    </xf>
    <xf numFmtId="0" fontId="1" fillId="5" borderId="23" xfId="3" applyFill="1" applyBorder="1"/>
    <xf numFmtId="1" fontId="5" fillId="5" borderId="23" xfId="3" applyNumberFormat="1" applyFont="1" applyFill="1" applyBorder="1" applyAlignment="1">
      <alignment horizontal="center"/>
    </xf>
    <xf numFmtId="0" fontId="1" fillId="5" borderId="15" xfId="3" applyFill="1" applyBorder="1"/>
    <xf numFmtId="165" fontId="6" fillId="5" borderId="15" xfId="3" applyNumberFormat="1" applyFont="1" applyFill="1" applyBorder="1" applyAlignment="1">
      <alignment horizontal="center"/>
    </xf>
    <xf numFmtId="2" fontId="5" fillId="5" borderId="54" xfId="3" applyNumberFormat="1" applyFont="1" applyFill="1" applyBorder="1" applyAlignment="1">
      <alignment horizontal="center"/>
    </xf>
    <xf numFmtId="165" fontId="63" fillId="0" borderId="1" xfId="0" applyNumberFormat="1" applyFont="1" applyFill="1" applyBorder="1" applyAlignment="1">
      <alignment horizontal="center"/>
    </xf>
    <xf numFmtId="165" fontId="63" fillId="0" borderId="35" xfId="0" applyNumberFormat="1" applyFont="1" applyFill="1" applyBorder="1" applyAlignment="1">
      <alignment horizontal="center"/>
    </xf>
    <xf numFmtId="165" fontId="48" fillId="0" borderId="16" xfId="0" applyNumberFormat="1" applyFont="1" applyFill="1" applyBorder="1" applyAlignment="1">
      <alignment horizontal="center"/>
    </xf>
    <xf numFmtId="0" fontId="48" fillId="0" borderId="16" xfId="0" applyFont="1" applyFill="1" applyBorder="1" applyAlignment="1">
      <alignment horizontal="center"/>
    </xf>
    <xf numFmtId="165" fontId="5" fillId="9" borderId="1" xfId="0" applyNumberFormat="1" applyFont="1" applyFill="1" applyBorder="1" applyAlignment="1">
      <alignment horizontal="center"/>
    </xf>
    <xf numFmtId="0" fontId="6" fillId="0" borderId="1" xfId="0" applyFont="1" applyFill="1" applyBorder="1" applyAlignment="1">
      <alignment horizontal="center"/>
    </xf>
    <xf numFmtId="0" fontId="5" fillId="0" borderId="1" xfId="0" applyFont="1" applyFill="1" applyBorder="1" applyAlignment="1">
      <alignment horizontal="center"/>
    </xf>
    <xf numFmtId="0" fontId="5" fillId="0" borderId="4" xfId="0" applyFont="1" applyFill="1" applyBorder="1" applyAlignment="1">
      <alignment horizontal="center" vertical="center"/>
    </xf>
    <xf numFmtId="1" fontId="5" fillId="0" borderId="3" xfId="0" applyNumberFormat="1" applyFont="1" applyFill="1" applyBorder="1" applyAlignment="1">
      <alignment horizontal="center"/>
    </xf>
    <xf numFmtId="0" fontId="38" fillId="0" borderId="1" xfId="0" applyFont="1" applyFill="1" applyBorder="1"/>
    <xf numFmtId="0" fontId="10" fillId="0" borderId="0" xfId="0" applyFont="1" applyFill="1"/>
    <xf numFmtId="0" fontId="6" fillId="5" borderId="16" xfId="0" applyFont="1" applyFill="1" applyBorder="1" applyAlignment="1">
      <alignment horizontal="center"/>
    </xf>
    <xf numFmtId="0" fontId="6" fillId="0" borderId="16" xfId="0" applyFont="1" applyFill="1" applyBorder="1" applyAlignment="1">
      <alignment horizontal="center"/>
    </xf>
    <xf numFmtId="0" fontId="5" fillId="5" borderId="35" xfId="0" applyFont="1" applyFill="1" applyBorder="1" applyAlignment="1">
      <alignment horizontal="center"/>
    </xf>
    <xf numFmtId="0" fontId="6" fillId="0" borderId="0" xfId="0" applyFont="1" applyFill="1" applyBorder="1" applyAlignment="1">
      <alignment horizontal="left"/>
    </xf>
    <xf numFmtId="1" fontId="5" fillId="0" borderId="0" xfId="3" applyNumberFormat="1" applyFont="1" applyFill="1" applyBorder="1" applyAlignment="1">
      <alignment horizontal="center"/>
    </xf>
    <xf numFmtId="0" fontId="5" fillId="0" borderId="1" xfId="0" applyFont="1" applyFill="1" applyBorder="1" applyAlignment="1">
      <alignment horizontal="center"/>
    </xf>
    <xf numFmtId="0" fontId="10" fillId="0" borderId="0" xfId="0" applyFont="1" applyFill="1" applyBorder="1" applyAlignment="1">
      <alignment horizontal="left"/>
    </xf>
    <xf numFmtId="0" fontId="20" fillId="0" borderId="0" xfId="0" applyFont="1" applyFill="1" applyBorder="1" applyAlignment="1">
      <alignment horizontal="left"/>
    </xf>
    <xf numFmtId="0" fontId="5" fillId="0" borderId="4" xfId="0" applyFont="1" applyFill="1" applyBorder="1" applyAlignment="1">
      <alignment horizontal="center" vertical="center"/>
    </xf>
    <xf numFmtId="0" fontId="5" fillId="0" borderId="0" xfId="0" applyFont="1" applyFill="1" applyBorder="1" applyAlignment="1">
      <alignment horizontal="center" vertical="center"/>
    </xf>
    <xf numFmtId="0" fontId="35" fillId="0" borderId="0" xfId="3" applyFont="1" applyFill="1" applyBorder="1" applyAlignment="1">
      <alignment horizontal="center"/>
    </xf>
    <xf numFmtId="0" fontId="48" fillId="5" borderId="1" xfId="3" applyFont="1" applyFill="1" applyBorder="1" applyAlignment="1">
      <alignment horizontal="center"/>
    </xf>
    <xf numFmtId="0" fontId="10" fillId="0" borderId="15" xfId="0" applyFont="1" applyFill="1" applyBorder="1" applyAlignment="1">
      <alignment horizontal="left"/>
    </xf>
    <xf numFmtId="0" fontId="5" fillId="0" borderId="34" xfId="0" applyFont="1" applyFill="1" applyBorder="1" applyAlignment="1">
      <alignment horizontal="center" vertical="center"/>
    </xf>
    <xf numFmtId="0" fontId="6" fillId="0" borderId="23" xfId="0" applyFont="1" applyFill="1" applyBorder="1" applyAlignment="1">
      <alignment horizontal="left"/>
    </xf>
    <xf numFmtId="1" fontId="5" fillId="0" borderId="0" xfId="3" applyNumberFormat="1" applyFont="1" applyFill="1" applyBorder="1" applyAlignment="1">
      <alignment horizontal="center"/>
    </xf>
    <xf numFmtId="10" fontId="5" fillId="0" borderId="8" xfId="1" applyNumberFormat="1" applyFont="1" applyFill="1" applyBorder="1" applyAlignment="1">
      <alignment horizontal="center" vertical="center"/>
    </xf>
    <xf numFmtId="0" fontId="92" fillId="0" borderId="0" xfId="0" applyFont="1" applyFill="1" applyBorder="1" applyAlignment="1">
      <alignment horizontal="left"/>
    </xf>
    <xf numFmtId="0" fontId="93" fillId="0" borderId="0" xfId="0" applyFont="1" applyBorder="1"/>
    <xf numFmtId="0" fontId="93" fillId="0" borderId="0" xfId="0" applyFont="1"/>
    <xf numFmtId="0" fontId="94" fillId="0" borderId="0" xfId="0" applyFont="1" applyBorder="1" applyAlignment="1">
      <alignment horizontal="center"/>
    </xf>
    <xf numFmtId="0" fontId="94" fillId="0" borderId="0" xfId="0" applyFont="1" applyBorder="1"/>
    <xf numFmtId="0" fontId="94" fillId="0" borderId="0" xfId="0" applyFont="1"/>
    <xf numFmtId="0" fontId="94" fillId="0" borderId="1" xfId="0" applyFont="1" applyBorder="1"/>
    <xf numFmtId="0" fontId="93" fillId="0" borderId="0" xfId="0" applyFont="1" applyBorder="1" applyAlignment="1">
      <alignment horizontal="center"/>
    </xf>
    <xf numFmtId="0" fontId="93" fillId="0" borderId="0" xfId="0" applyFont="1" applyFill="1" applyAlignment="1">
      <alignment horizontal="center"/>
    </xf>
    <xf numFmtId="0" fontId="93" fillId="0" borderId="0" xfId="0" applyFont="1" applyAlignment="1">
      <alignment horizontal="center"/>
    </xf>
    <xf numFmtId="165" fontId="92" fillId="0" borderId="0" xfId="0" applyNumberFormat="1" applyFont="1" applyAlignment="1">
      <alignment horizontal="center"/>
    </xf>
    <xf numFmtId="2" fontId="5" fillId="0" borderId="0" xfId="0" applyNumberFormat="1" applyFont="1" applyFill="1" applyBorder="1" applyAlignment="1">
      <alignment horizontal="center" vertical="center"/>
    </xf>
    <xf numFmtId="0" fontId="94" fillId="0" borderId="0" xfId="0" applyFont="1" applyBorder="1" applyAlignment="1">
      <alignment horizontal="center" vertical="center"/>
    </xf>
    <xf numFmtId="0" fontId="5" fillId="0" borderId="0" xfId="0" applyFont="1" applyFill="1" applyBorder="1" applyAlignment="1">
      <alignment horizontal="center" vertical="center" wrapText="1"/>
    </xf>
    <xf numFmtId="0" fontId="48" fillId="0" borderId="0" xfId="0" applyFont="1" applyFill="1" applyBorder="1" applyAlignment="1"/>
    <xf numFmtId="0" fontId="5" fillId="0" borderId="2" xfId="0" applyFont="1" applyFill="1" applyBorder="1" applyAlignment="1">
      <alignment horizontal="left" vertical="center"/>
    </xf>
    <xf numFmtId="0" fontId="5" fillId="0" borderId="1" xfId="0" applyFont="1" applyFill="1" applyBorder="1" applyAlignment="1">
      <alignment horizontal="left" vertical="center"/>
    </xf>
    <xf numFmtId="0" fontId="6" fillId="0" borderId="7" xfId="0" applyFont="1" applyFill="1" applyBorder="1" applyAlignment="1">
      <alignment horizontal="center"/>
    </xf>
    <xf numFmtId="1" fontId="5" fillId="0" borderId="0" xfId="0" applyNumberFormat="1" applyFont="1" applyFill="1" applyBorder="1" applyAlignment="1">
      <alignment horizontal="left"/>
    </xf>
    <xf numFmtId="0" fontId="5" fillId="0" borderId="0" xfId="3" applyFont="1" applyFill="1" applyAlignment="1">
      <alignment horizontal="right" vertical="center"/>
    </xf>
    <xf numFmtId="1" fontId="72" fillId="0" borderId="3" xfId="3" applyNumberFormat="1" applyFont="1" applyFill="1" applyBorder="1" applyAlignment="1">
      <alignment horizontal="center"/>
    </xf>
    <xf numFmtId="165" fontId="5" fillId="5" borderId="3" xfId="3" applyNumberFormat="1" applyFont="1" applyFill="1" applyBorder="1" applyAlignment="1">
      <alignment horizontal="center"/>
    </xf>
    <xf numFmtId="165" fontId="5" fillId="5" borderId="53" xfId="3" applyNumberFormat="1" applyFont="1" applyFill="1" applyBorder="1" applyAlignment="1">
      <alignment horizontal="center"/>
    </xf>
    <xf numFmtId="165" fontId="5" fillId="5" borderId="1" xfId="3" applyNumberFormat="1" applyFont="1" applyFill="1" applyBorder="1" applyAlignment="1">
      <alignment horizontal="center"/>
    </xf>
    <xf numFmtId="165" fontId="5" fillId="0" borderId="53" xfId="3" applyNumberFormat="1" applyFont="1" applyFill="1" applyBorder="1" applyAlignment="1">
      <alignment horizontal="center"/>
    </xf>
    <xf numFmtId="165" fontId="5" fillId="0" borderId="3" xfId="3" applyNumberFormat="1" applyFont="1" applyFill="1" applyBorder="1" applyAlignment="1">
      <alignment horizontal="center"/>
    </xf>
    <xf numFmtId="1" fontId="5" fillId="5" borderId="15" xfId="3" applyNumberFormat="1" applyFont="1" applyFill="1" applyBorder="1" applyAlignment="1">
      <alignment horizontal="left"/>
    </xf>
    <xf numFmtId="1" fontId="6" fillId="0" borderId="11" xfId="3" applyNumberFormat="1" applyFont="1" applyFill="1" applyBorder="1" applyAlignment="1">
      <alignment horizontal="left"/>
    </xf>
    <xf numFmtId="1" fontId="5" fillId="0" borderId="15" xfId="3" applyNumberFormat="1" applyFont="1" applyFill="1" applyBorder="1" applyAlignment="1">
      <alignment horizontal="center"/>
    </xf>
    <xf numFmtId="0" fontId="1" fillId="0" borderId="47" xfId="3" applyBorder="1" applyAlignment="1">
      <alignment horizontal="center"/>
    </xf>
    <xf numFmtId="1" fontId="5" fillId="0" borderId="14" xfId="3" applyNumberFormat="1" applyFont="1" applyFill="1" applyBorder="1" applyAlignment="1">
      <alignment horizontal="center"/>
    </xf>
    <xf numFmtId="2" fontId="5" fillId="6" borderId="0" xfId="3" applyNumberFormat="1" applyFont="1" applyFill="1" applyBorder="1" applyAlignment="1">
      <alignment horizontal="center"/>
    </xf>
    <xf numFmtId="1" fontId="5" fillId="6" borderId="0" xfId="3" applyNumberFormat="1" applyFont="1" applyFill="1" applyBorder="1" applyAlignment="1">
      <alignment horizontal="center"/>
    </xf>
    <xf numFmtId="165" fontId="5" fillId="6" borderId="0" xfId="3" applyNumberFormat="1" applyFont="1" applyFill="1" applyBorder="1" applyAlignment="1">
      <alignment horizontal="center"/>
    </xf>
    <xf numFmtId="0" fontId="1" fillId="6" borderId="0" xfId="3" applyFill="1" applyBorder="1"/>
    <xf numFmtId="165" fontId="6" fillId="6" borderId="0" xfId="3" applyNumberFormat="1" applyFont="1" applyFill="1" applyBorder="1" applyAlignment="1">
      <alignment horizontal="center"/>
    </xf>
    <xf numFmtId="1" fontId="5" fillId="6" borderId="0" xfId="3" applyNumberFormat="1" applyFont="1" applyFill="1" applyBorder="1" applyAlignment="1">
      <alignment horizontal="left"/>
    </xf>
    <xf numFmtId="1" fontId="5" fillId="6" borderId="0" xfId="3" applyNumberFormat="1" applyFont="1" applyFill="1" applyBorder="1" applyAlignment="1">
      <alignment horizontal="center" vertical="center"/>
    </xf>
    <xf numFmtId="0" fontId="1" fillId="0" borderId="17" xfId="3" applyBorder="1" applyAlignment="1">
      <alignment horizontal="center"/>
    </xf>
    <xf numFmtId="1" fontId="95" fillId="0" borderId="0" xfId="3" applyNumberFormat="1" applyFont="1" applyFill="1" applyBorder="1" applyAlignment="1">
      <alignment vertical="center"/>
    </xf>
    <xf numFmtId="1" fontId="5" fillId="5" borderId="25" xfId="3" applyNumberFormat="1" applyFont="1" applyFill="1" applyBorder="1" applyAlignment="1">
      <alignment horizontal="center"/>
    </xf>
    <xf numFmtId="1" fontId="5" fillId="5" borderId="28" xfId="3" applyNumberFormat="1" applyFont="1" applyFill="1" applyBorder="1" applyAlignment="1">
      <alignment horizontal="center"/>
    </xf>
    <xf numFmtId="2" fontId="5" fillId="0" borderId="0" xfId="3" applyNumberFormat="1" applyFont="1" applyFill="1" applyBorder="1" applyAlignment="1">
      <alignment horizontal="center"/>
    </xf>
    <xf numFmtId="165" fontId="5" fillId="0" borderId="0" xfId="3" applyNumberFormat="1" applyFont="1" applyFill="1" applyBorder="1" applyAlignment="1">
      <alignment horizontal="center"/>
    </xf>
    <xf numFmtId="165" fontId="6" fillId="0" borderId="23" xfId="3" applyNumberFormat="1" applyFont="1" applyFill="1" applyBorder="1" applyAlignment="1">
      <alignment horizontal="center"/>
    </xf>
    <xf numFmtId="1" fontId="6" fillId="0" borderId="23" xfId="3" applyNumberFormat="1" applyFont="1" applyFill="1" applyBorder="1" applyAlignment="1">
      <alignment horizontal="left"/>
    </xf>
    <xf numFmtId="2" fontId="5" fillId="0" borderId="19" xfId="1" applyNumberFormat="1" applyFont="1" applyFill="1" applyBorder="1" applyAlignment="1">
      <alignment horizontal="center" vertical="center"/>
    </xf>
    <xf numFmtId="2" fontId="5" fillId="0" borderId="16" xfId="1" applyNumberFormat="1" applyFont="1" applyFill="1" applyBorder="1" applyAlignment="1">
      <alignment horizontal="center" vertical="center"/>
    </xf>
    <xf numFmtId="2" fontId="5" fillId="0" borderId="7" xfId="1" applyNumberFormat="1" applyFont="1" applyFill="1" applyBorder="1" applyAlignment="1">
      <alignment horizontal="center" vertical="center"/>
    </xf>
    <xf numFmtId="2" fontId="5" fillId="0" borderId="6" xfId="1" applyNumberFormat="1" applyFont="1" applyFill="1" applyBorder="1" applyAlignment="1">
      <alignment horizontal="center" vertical="center"/>
    </xf>
    <xf numFmtId="0" fontId="5" fillId="0" borderId="19" xfId="0" applyFont="1" applyFill="1" applyBorder="1" applyAlignment="1">
      <alignment horizontal="center" vertical="center"/>
    </xf>
    <xf numFmtId="0" fontId="5" fillId="0" borderId="16" xfId="0" applyFont="1" applyFill="1" applyBorder="1" applyAlignment="1">
      <alignment horizontal="center" vertical="center"/>
    </xf>
    <xf numFmtId="0" fontId="5" fillId="0" borderId="22" xfId="0" applyFont="1" applyFill="1" applyBorder="1" applyAlignment="1">
      <alignment horizontal="left"/>
    </xf>
    <xf numFmtId="2" fontId="5" fillId="0" borderId="6" xfId="1" applyNumberFormat="1" applyFont="1" applyFill="1" applyBorder="1" applyAlignment="1">
      <alignment horizontal="center"/>
    </xf>
    <xf numFmtId="0" fontId="33" fillId="0" borderId="66" xfId="0" applyFont="1" applyFill="1" applyBorder="1" applyAlignment="1">
      <alignment horizontal="left"/>
    </xf>
    <xf numFmtId="0" fontId="6" fillId="0" borderId="37" xfId="0" applyFont="1" applyFill="1" applyBorder="1" applyAlignment="1">
      <alignment horizontal="center"/>
    </xf>
    <xf numFmtId="0" fontId="6" fillId="0" borderId="36" xfId="0" applyFont="1" applyFill="1" applyBorder="1" applyAlignment="1">
      <alignment horizontal="center"/>
    </xf>
    <xf numFmtId="0" fontId="6" fillId="0" borderId="66" xfId="0" applyFont="1" applyFill="1" applyBorder="1" applyAlignment="1">
      <alignment horizontal="center"/>
    </xf>
    <xf numFmtId="2" fontId="6" fillId="0" borderId="35" xfId="0" applyNumberFormat="1" applyFont="1" applyFill="1" applyBorder="1" applyAlignment="1">
      <alignment horizontal="center"/>
    </xf>
    <xf numFmtId="0" fontId="10" fillId="0" borderId="37" xfId="0" applyFont="1" applyFill="1" applyBorder="1" applyAlignment="1">
      <alignment horizontal="left"/>
    </xf>
    <xf numFmtId="0" fontId="10" fillId="0" borderId="36" xfId="0" applyFont="1" applyFill="1" applyBorder="1" applyAlignment="1">
      <alignment horizontal="center"/>
    </xf>
    <xf numFmtId="0" fontId="6" fillId="0" borderId="22" xfId="0" applyFont="1" applyFill="1" applyBorder="1" applyAlignment="1">
      <alignment horizontal="center"/>
    </xf>
    <xf numFmtId="2" fontId="6" fillId="0" borderId="6" xfId="0" applyNumberFormat="1" applyFont="1" applyFill="1" applyBorder="1" applyAlignment="1">
      <alignment horizontal="center"/>
    </xf>
    <xf numFmtId="0" fontId="6" fillId="0" borderId="6" xfId="0" applyFont="1" applyFill="1" applyBorder="1" applyAlignment="1">
      <alignment horizontal="center"/>
    </xf>
    <xf numFmtId="0" fontId="6" fillId="0" borderId="35" xfId="0" applyFont="1" applyFill="1" applyBorder="1" applyAlignment="1">
      <alignment horizontal="center"/>
    </xf>
    <xf numFmtId="0" fontId="5" fillId="0" borderId="26" xfId="0" applyFont="1" applyFill="1" applyBorder="1" applyAlignment="1">
      <alignment horizontal="center" vertical="center"/>
    </xf>
    <xf numFmtId="1" fontId="5" fillId="0" borderId="22" xfId="1" applyNumberFormat="1" applyFont="1" applyFill="1" applyBorder="1" applyAlignment="1">
      <alignment horizontal="center" vertical="center"/>
    </xf>
    <xf numFmtId="0" fontId="5" fillId="0" borderId="72" xfId="0" applyFont="1" applyFill="1" applyBorder="1"/>
    <xf numFmtId="0" fontId="5" fillId="0" borderId="28" xfId="0" applyFont="1" applyFill="1" applyBorder="1" applyAlignment="1">
      <alignment horizontal="center" vertical="center"/>
    </xf>
    <xf numFmtId="2" fontId="5" fillId="0" borderId="9" xfId="1" applyNumberFormat="1" applyFont="1" applyFill="1" applyBorder="1" applyAlignment="1">
      <alignment horizontal="center" vertical="center"/>
    </xf>
    <xf numFmtId="0" fontId="6" fillId="0" borderId="40" xfId="0" applyFont="1" applyFill="1" applyBorder="1" applyAlignment="1">
      <alignment horizontal="left"/>
    </xf>
    <xf numFmtId="0" fontId="6" fillId="0" borderId="23" xfId="0" applyFont="1" applyFill="1" applyBorder="1" applyAlignment="1">
      <alignment horizontal="left" vertical="center"/>
    </xf>
    <xf numFmtId="0" fontId="33" fillId="0" borderId="0" xfId="0" applyFont="1" applyFill="1" applyBorder="1" applyAlignment="1">
      <alignment horizontal="left" vertical="center"/>
    </xf>
    <xf numFmtId="0" fontId="33" fillId="0" borderId="4" xfId="0" applyFont="1" applyFill="1" applyBorder="1" applyAlignment="1">
      <alignment horizontal="left" vertical="center"/>
    </xf>
    <xf numFmtId="0" fontId="33" fillId="0" borderId="18" xfId="0" applyFont="1" applyFill="1" applyBorder="1" applyAlignment="1">
      <alignment horizontal="left" vertical="center"/>
    </xf>
    <xf numFmtId="0" fontId="33" fillId="0" borderId="4" xfId="0" applyFont="1" applyFill="1" applyBorder="1" applyAlignment="1">
      <alignment vertical="center"/>
    </xf>
    <xf numFmtId="0" fontId="5" fillId="0" borderId="69" xfId="0" applyFont="1" applyFill="1" applyBorder="1" applyAlignment="1">
      <alignment horizontal="center" vertical="center"/>
    </xf>
    <xf numFmtId="0" fontId="33" fillId="0" borderId="71" xfId="0" applyFont="1" applyFill="1" applyBorder="1" applyAlignment="1">
      <alignment horizontal="center" vertical="center"/>
    </xf>
    <xf numFmtId="0" fontId="33" fillId="0" borderId="26" xfId="0" applyFont="1" applyFill="1" applyBorder="1" applyAlignment="1">
      <alignment horizontal="center" vertical="center"/>
    </xf>
    <xf numFmtId="0" fontId="33" fillId="0" borderId="48" xfId="0" applyFont="1" applyFill="1" applyBorder="1" applyAlignment="1">
      <alignment horizontal="center" vertical="center"/>
    </xf>
    <xf numFmtId="0" fontId="33" fillId="0" borderId="49" xfId="0" applyFont="1" applyFill="1" applyBorder="1" applyAlignment="1">
      <alignment horizontal="center" vertical="center"/>
    </xf>
    <xf numFmtId="0" fontId="5" fillId="0" borderId="70" xfId="0" applyFont="1" applyFill="1" applyBorder="1" applyAlignment="1">
      <alignment horizontal="center" vertical="center"/>
    </xf>
    <xf numFmtId="0" fontId="5" fillId="0" borderId="71" xfId="0" applyFont="1" applyFill="1" applyBorder="1" applyAlignment="1">
      <alignment horizontal="center" vertical="center"/>
    </xf>
    <xf numFmtId="0" fontId="33" fillId="0" borderId="70" xfId="0" applyFont="1" applyFill="1" applyBorder="1" applyAlignment="1">
      <alignment horizontal="center" vertical="center"/>
    </xf>
    <xf numFmtId="0" fontId="20" fillId="0" borderId="9" xfId="0" applyFont="1" applyFill="1" applyBorder="1" applyAlignment="1">
      <alignment horizontal="left"/>
    </xf>
    <xf numFmtId="0" fontId="33" fillId="0" borderId="69" xfId="0" applyFont="1" applyFill="1" applyBorder="1" applyAlignment="1">
      <alignment horizontal="center" vertical="center"/>
    </xf>
    <xf numFmtId="0" fontId="33" fillId="0" borderId="47" xfId="0" applyFont="1" applyFill="1" applyBorder="1" applyAlignment="1">
      <alignment horizontal="center" vertical="center"/>
    </xf>
    <xf numFmtId="0" fontId="33" fillId="0" borderId="29" xfId="0" applyFont="1" applyFill="1" applyBorder="1" applyAlignment="1">
      <alignment horizontal="center" vertical="center"/>
    </xf>
    <xf numFmtId="0" fontId="33" fillId="0" borderId="37" xfId="0" applyFont="1" applyFill="1" applyBorder="1" applyAlignment="1">
      <alignment horizontal="center" vertical="center"/>
    </xf>
    <xf numFmtId="0" fontId="6" fillId="0" borderId="4" xfId="0" applyFont="1" applyFill="1" applyBorder="1" applyAlignment="1">
      <alignment horizontal="left"/>
    </xf>
    <xf numFmtId="2" fontId="6" fillId="0" borderId="16" xfId="1" applyNumberFormat="1" applyFont="1" applyFill="1" applyBorder="1" applyAlignment="1">
      <alignment horizontal="center"/>
    </xf>
    <xf numFmtId="2" fontId="5" fillId="5" borderId="65" xfId="3" applyNumberFormat="1" applyFont="1" applyFill="1" applyBorder="1" applyAlignment="1">
      <alignment horizontal="center"/>
    </xf>
    <xf numFmtId="1" fontId="5" fillId="5" borderId="37" xfId="3" applyNumberFormat="1" applyFont="1" applyFill="1" applyBorder="1" applyAlignment="1">
      <alignment horizontal="center"/>
    </xf>
    <xf numFmtId="165" fontId="5" fillId="5" borderId="35" xfId="3" applyNumberFormat="1" applyFont="1" applyFill="1" applyBorder="1" applyAlignment="1">
      <alignment horizontal="center"/>
    </xf>
    <xf numFmtId="1" fontId="5" fillId="5" borderId="36" xfId="3" applyNumberFormat="1" applyFont="1" applyFill="1" applyBorder="1" applyAlignment="1">
      <alignment horizontal="center"/>
    </xf>
    <xf numFmtId="165" fontId="5" fillId="5" borderId="66" xfId="3" applyNumberFormat="1" applyFont="1" applyFill="1" applyBorder="1" applyAlignment="1">
      <alignment horizontal="center"/>
    </xf>
    <xf numFmtId="1" fontId="5" fillId="5" borderId="35" xfId="3" applyNumberFormat="1" applyFont="1" applyFill="1" applyBorder="1" applyAlignment="1">
      <alignment horizontal="center"/>
    </xf>
    <xf numFmtId="0" fontId="5" fillId="5" borderId="1" xfId="3" applyFont="1" applyFill="1" applyBorder="1" applyAlignment="1">
      <alignment horizontal="center"/>
    </xf>
    <xf numFmtId="0" fontId="1" fillId="0" borderId="23" xfId="3" applyBorder="1" applyAlignment="1">
      <alignment horizontal="center"/>
    </xf>
    <xf numFmtId="0" fontId="5" fillId="0" borderId="71" xfId="0" applyFont="1" applyFill="1" applyBorder="1" applyAlignment="1">
      <alignment horizontal="center" vertical="center" wrapText="1"/>
    </xf>
    <xf numFmtId="1" fontId="72" fillId="5" borderId="1" xfId="3" applyNumberFormat="1" applyFont="1" applyFill="1" applyBorder="1" applyAlignment="1">
      <alignment horizontal="center"/>
    </xf>
    <xf numFmtId="1" fontId="72" fillId="5" borderId="53" xfId="3" applyNumberFormat="1" applyFont="1" applyFill="1" applyBorder="1" applyAlignment="1">
      <alignment horizontal="center"/>
    </xf>
    <xf numFmtId="1" fontId="72" fillId="5" borderId="3" xfId="3" applyNumberFormat="1" applyFont="1" applyFill="1" applyBorder="1" applyAlignment="1">
      <alignment horizontal="center"/>
    </xf>
    <xf numFmtId="0" fontId="1" fillId="0" borderId="0" xfId="3" applyAlignment="1">
      <alignment horizontal="left" vertical="center" wrapText="1"/>
    </xf>
    <xf numFmtId="0" fontId="1" fillId="0" borderId="0" xfId="3" applyFont="1" applyAlignment="1">
      <alignment horizontal="center"/>
    </xf>
    <xf numFmtId="1" fontId="5" fillId="5" borderId="24" xfId="3" applyNumberFormat="1" applyFont="1" applyFill="1" applyBorder="1" applyAlignment="1">
      <alignment horizontal="center"/>
    </xf>
    <xf numFmtId="0" fontId="96" fillId="0" borderId="16" xfId="3" applyFont="1" applyBorder="1" applyAlignment="1">
      <alignment horizontal="center" vertical="center"/>
    </xf>
    <xf numFmtId="165" fontId="7" fillId="0" borderId="16" xfId="3" applyNumberFormat="1" applyFont="1" applyFill="1" applyBorder="1" applyAlignment="1">
      <alignment horizontal="center" vertical="center"/>
    </xf>
    <xf numFmtId="0" fontId="96" fillId="0" borderId="6" xfId="3" applyFont="1" applyBorder="1" applyAlignment="1">
      <alignment horizontal="center" vertical="center"/>
    </xf>
    <xf numFmtId="165" fontId="7" fillId="0" borderId="6" xfId="3" applyNumberFormat="1" applyFont="1" applyFill="1" applyBorder="1" applyAlignment="1">
      <alignment horizontal="center" vertical="center"/>
    </xf>
    <xf numFmtId="0" fontId="5" fillId="0" borderId="63" xfId="0" applyFont="1" applyFill="1" applyBorder="1" applyAlignment="1">
      <alignment horizontal="center" vertical="center"/>
    </xf>
    <xf numFmtId="10" fontId="5" fillId="0" borderId="19" xfId="1" applyNumberFormat="1" applyFont="1" applyFill="1" applyBorder="1" applyAlignment="1">
      <alignment horizontal="center" vertical="center"/>
    </xf>
    <xf numFmtId="10" fontId="5" fillId="0" borderId="72" xfId="1" applyNumberFormat="1" applyFont="1" applyFill="1" applyBorder="1" applyAlignment="1">
      <alignment vertical="center"/>
    </xf>
    <xf numFmtId="0" fontId="5" fillId="0" borderId="26" xfId="0" applyFont="1" applyFill="1" applyBorder="1" applyAlignment="1">
      <alignment horizontal="center" wrapText="1"/>
    </xf>
    <xf numFmtId="2" fontId="5" fillId="0" borderId="41" xfId="1" applyNumberFormat="1" applyFont="1" applyFill="1" applyBorder="1" applyAlignment="1">
      <alignment horizontal="center" vertical="center"/>
    </xf>
    <xf numFmtId="0" fontId="5" fillId="0" borderId="39" xfId="0" applyFont="1" applyFill="1" applyBorder="1" applyAlignment="1">
      <alignment horizontal="center" vertical="justify"/>
    </xf>
    <xf numFmtId="1" fontId="5" fillId="0" borderId="19" xfId="1" applyNumberFormat="1" applyFont="1" applyFill="1" applyBorder="1" applyAlignment="1">
      <alignment horizontal="center" vertical="center"/>
    </xf>
    <xf numFmtId="1" fontId="5" fillId="0" borderId="8" xfId="1" applyNumberFormat="1" applyFont="1" applyFill="1" applyBorder="1" applyAlignment="1">
      <alignment horizontal="center" vertical="center"/>
    </xf>
    <xf numFmtId="0" fontId="20" fillId="0" borderId="17" xfId="0" applyFont="1" applyFill="1" applyBorder="1" applyAlignment="1">
      <alignment vertical="center"/>
    </xf>
    <xf numFmtId="0" fontId="10" fillId="0" borderId="0" xfId="0" applyFont="1" applyFill="1" applyBorder="1" applyAlignment="1">
      <alignment vertical="center"/>
    </xf>
    <xf numFmtId="0" fontId="10" fillId="0" borderId="0" xfId="0" applyFont="1" applyFill="1" applyBorder="1" applyAlignment="1">
      <alignment horizontal="right"/>
    </xf>
    <xf numFmtId="0" fontId="10" fillId="0" borderId="15" xfId="0" applyFont="1" applyFill="1" applyBorder="1" applyAlignment="1">
      <alignment horizontal="right"/>
    </xf>
    <xf numFmtId="0" fontId="48" fillId="10" borderId="16" xfId="0" applyFont="1" applyFill="1" applyBorder="1" applyAlignment="1">
      <alignment horizontal="center"/>
    </xf>
    <xf numFmtId="0" fontId="17" fillId="10" borderId="0" xfId="0" applyFont="1" applyFill="1"/>
    <xf numFmtId="0" fontId="48" fillId="10" borderId="1" xfId="0" applyFont="1" applyFill="1" applyBorder="1" applyAlignment="1">
      <alignment horizontal="center"/>
    </xf>
    <xf numFmtId="0" fontId="48" fillId="10" borderId="0" xfId="0" applyFont="1" applyFill="1" applyAlignment="1">
      <alignment horizontal="center"/>
    </xf>
    <xf numFmtId="0" fontId="6" fillId="6" borderId="1" xfId="0" applyFont="1" applyFill="1" applyBorder="1" applyAlignment="1">
      <alignment horizontal="center"/>
    </xf>
    <xf numFmtId="0" fontId="5" fillId="6" borderId="1" xfId="0" applyFont="1" applyFill="1" applyBorder="1" applyAlignment="1">
      <alignment horizontal="center"/>
    </xf>
    <xf numFmtId="0" fontId="5" fillId="6" borderId="1" xfId="0" quotePrefix="1" applyFont="1" applyFill="1" applyBorder="1" applyAlignment="1">
      <alignment horizontal="center"/>
    </xf>
    <xf numFmtId="0" fontId="5" fillId="6" borderId="35" xfId="0" applyFont="1" applyFill="1" applyBorder="1" applyAlignment="1">
      <alignment horizontal="center"/>
    </xf>
    <xf numFmtId="0" fontId="5" fillId="6" borderId="1" xfId="0" applyFont="1" applyFill="1" applyBorder="1" applyAlignment="1">
      <alignment horizontal="center" vertical="center"/>
    </xf>
    <xf numFmtId="0" fontId="6" fillId="10" borderId="0" xfId="0" applyFont="1" applyFill="1"/>
    <xf numFmtId="0" fontId="5" fillId="10" borderId="0" xfId="0" applyFont="1" applyFill="1"/>
    <xf numFmtId="0" fontId="5" fillId="10" borderId="0" xfId="0" applyFont="1" applyFill="1" applyAlignment="1">
      <alignment horizontal="center"/>
    </xf>
    <xf numFmtId="0" fontId="5" fillId="10" borderId="0" xfId="0" applyFont="1" applyFill="1" applyBorder="1"/>
    <xf numFmtId="0" fontId="6" fillId="10" borderId="0" xfId="0" applyFont="1" applyFill="1" applyBorder="1" applyAlignment="1">
      <alignment horizontal="center"/>
    </xf>
    <xf numFmtId="0" fontId="6" fillId="10" borderId="33" xfId="0" applyFont="1" applyFill="1" applyBorder="1" applyAlignment="1"/>
    <xf numFmtId="0" fontId="6" fillId="10" borderId="1" xfId="0" applyFont="1" applyFill="1" applyBorder="1" applyAlignment="1">
      <alignment horizontal="center"/>
    </xf>
    <xf numFmtId="0" fontId="6" fillId="10" borderId="33" xfId="0" applyFont="1" applyFill="1" applyBorder="1" applyAlignment="1">
      <alignment horizontal="left"/>
    </xf>
    <xf numFmtId="0" fontId="5" fillId="10" borderId="12" xfId="0" applyFont="1" applyFill="1" applyBorder="1" applyAlignment="1">
      <alignment horizontal="center"/>
    </xf>
    <xf numFmtId="0" fontId="5" fillId="10" borderId="1" xfId="0" applyFont="1" applyFill="1" applyBorder="1" applyAlignment="1"/>
    <xf numFmtId="0" fontId="5" fillId="10" borderId="1" xfId="0" applyFont="1" applyFill="1" applyBorder="1" applyAlignment="1">
      <alignment horizontal="center"/>
    </xf>
    <xf numFmtId="0" fontId="5" fillId="10" borderId="0" xfId="0" applyFont="1" applyFill="1" applyBorder="1" applyAlignment="1">
      <alignment horizontal="left" vertical="top"/>
    </xf>
    <xf numFmtId="0" fontId="5" fillId="10" borderId="0" xfId="0" applyFont="1" applyFill="1" applyBorder="1" applyAlignment="1">
      <alignment horizontal="right"/>
    </xf>
    <xf numFmtId="0" fontId="5" fillId="10" borderId="1" xfId="0" applyFont="1" applyFill="1" applyBorder="1" applyAlignment="1">
      <alignment horizontal="left"/>
    </xf>
    <xf numFmtId="0" fontId="5" fillId="10" borderId="1" xfId="0" quotePrefix="1" applyFont="1" applyFill="1" applyBorder="1" applyAlignment="1">
      <alignment horizontal="center"/>
    </xf>
    <xf numFmtId="0" fontId="5" fillId="10" borderId="35" xfId="0" applyFont="1" applyFill="1" applyBorder="1" applyAlignment="1"/>
    <xf numFmtId="0" fontId="6" fillId="10" borderId="7" xfId="0" applyFont="1" applyFill="1" applyBorder="1" applyAlignment="1"/>
    <xf numFmtId="0" fontId="6" fillId="10" borderId="16" xfId="0" applyFont="1" applyFill="1" applyBorder="1" applyAlignment="1">
      <alignment horizontal="center"/>
    </xf>
    <xf numFmtId="0" fontId="5" fillId="10" borderId="0" xfId="0" applyFont="1" applyFill="1" applyBorder="1" applyAlignment="1">
      <alignment horizontal="center"/>
    </xf>
    <xf numFmtId="0" fontId="5" fillId="10" borderId="37" xfId="0" applyFont="1" applyFill="1" applyBorder="1" applyAlignment="1"/>
    <xf numFmtId="0" fontId="5" fillId="10" borderId="2" xfId="0" applyFont="1" applyFill="1" applyBorder="1" applyAlignment="1"/>
    <xf numFmtId="0" fontId="5" fillId="10" borderId="0" xfId="0" applyFont="1" applyFill="1" applyBorder="1" applyAlignment="1"/>
    <xf numFmtId="0" fontId="5" fillId="10" borderId="1" xfId="0" applyFont="1" applyFill="1" applyBorder="1" applyAlignment="1">
      <alignment wrapText="1"/>
    </xf>
    <xf numFmtId="0" fontId="0" fillId="10" borderId="0" xfId="0" applyFill="1"/>
    <xf numFmtId="49" fontId="5" fillId="10" borderId="0" xfId="0" applyNumberFormat="1" applyFont="1" applyFill="1" applyBorder="1" applyAlignment="1">
      <alignment horizontal="center"/>
    </xf>
    <xf numFmtId="0" fontId="6" fillId="10" borderId="0" xfId="0" applyFont="1" applyFill="1" applyAlignment="1">
      <alignment horizontal="center"/>
    </xf>
    <xf numFmtId="0" fontId="65" fillId="10" borderId="0" xfId="0" applyFont="1" applyFill="1" applyAlignment="1">
      <alignment horizontal="center"/>
    </xf>
    <xf numFmtId="0" fontId="6" fillId="11" borderId="1" xfId="0" applyFont="1" applyFill="1" applyBorder="1" applyAlignment="1">
      <alignment horizontal="center"/>
    </xf>
    <xf numFmtId="0" fontId="6" fillId="10" borderId="24" xfId="0" applyFont="1" applyFill="1" applyBorder="1" applyAlignment="1"/>
    <xf numFmtId="0" fontId="5" fillId="10" borderId="64" xfId="0" applyFont="1" applyFill="1" applyBorder="1" applyAlignment="1"/>
    <xf numFmtId="0" fontId="5" fillId="10" borderId="65" xfId="0" applyFont="1" applyFill="1" applyBorder="1" applyAlignment="1"/>
    <xf numFmtId="0" fontId="6" fillId="10" borderId="23" xfId="0" applyFont="1" applyFill="1" applyBorder="1" applyAlignment="1">
      <alignment horizontal="center"/>
    </xf>
    <xf numFmtId="2" fontId="6" fillId="10" borderId="0" xfId="0" applyNumberFormat="1" applyFont="1" applyFill="1" applyBorder="1" applyAlignment="1">
      <alignment horizontal="center"/>
    </xf>
    <xf numFmtId="0" fontId="6" fillId="10" borderId="15" xfId="0" applyFont="1" applyFill="1" applyBorder="1" applyAlignment="1">
      <alignment horizontal="center"/>
    </xf>
    <xf numFmtId="0" fontId="5" fillId="10" borderId="35" xfId="0" applyFont="1" applyFill="1" applyBorder="1" applyAlignment="1">
      <alignment horizontal="left"/>
    </xf>
    <xf numFmtId="0" fontId="6" fillId="10" borderId="25" xfId="0" applyFont="1" applyFill="1" applyBorder="1" applyAlignment="1">
      <alignment horizontal="center"/>
    </xf>
    <xf numFmtId="0" fontId="5" fillId="10" borderId="53" xfId="0" applyNumberFormat="1" applyFont="1" applyFill="1" applyBorder="1" applyAlignment="1">
      <alignment horizontal="center"/>
    </xf>
    <xf numFmtId="0" fontId="5" fillId="10" borderId="23" xfId="0" applyFont="1" applyFill="1" applyBorder="1"/>
    <xf numFmtId="2" fontId="5" fillId="10" borderId="1" xfId="0" applyNumberFormat="1" applyFont="1" applyFill="1" applyBorder="1" applyAlignment="1">
      <alignment horizontal="center"/>
    </xf>
    <xf numFmtId="49" fontId="5" fillId="6" borderId="53" xfId="0" applyNumberFormat="1" applyFont="1" applyFill="1" applyBorder="1" applyAlignment="1">
      <alignment horizontal="center"/>
    </xf>
    <xf numFmtId="49" fontId="5" fillId="6" borderId="55" xfId="0" applyNumberFormat="1" applyFont="1" applyFill="1" applyBorder="1" applyAlignment="1">
      <alignment horizontal="center"/>
    </xf>
    <xf numFmtId="2" fontId="5" fillId="6" borderId="1" xfId="0" applyNumberFormat="1" applyFont="1" applyFill="1" applyBorder="1" applyAlignment="1">
      <alignment horizontal="center"/>
    </xf>
    <xf numFmtId="165" fontId="5" fillId="6" borderId="1" xfId="0" applyNumberFormat="1" applyFont="1" applyFill="1" applyBorder="1" applyAlignment="1">
      <alignment horizontal="center"/>
    </xf>
    <xf numFmtId="165" fontId="5" fillId="6" borderId="35" xfId="0" applyNumberFormat="1" applyFont="1" applyFill="1" applyBorder="1" applyAlignment="1">
      <alignment horizontal="center"/>
    </xf>
    <xf numFmtId="49" fontId="5" fillId="10" borderId="0" xfId="0" applyNumberFormat="1" applyFont="1" applyFill="1" applyBorder="1" applyAlignment="1">
      <alignment horizontal="left"/>
    </xf>
    <xf numFmtId="0" fontId="5" fillId="10" borderId="0" xfId="0" applyFont="1" applyFill="1" applyBorder="1" applyAlignment="1">
      <alignment horizontal="center" wrapText="1"/>
    </xf>
    <xf numFmtId="0" fontId="17" fillId="10" borderId="0" xfId="0" applyFont="1" applyFill="1" applyBorder="1" applyAlignment="1">
      <alignment horizontal="center" wrapText="1"/>
    </xf>
    <xf numFmtId="0" fontId="6" fillId="10" borderId="24" xfId="0" applyFont="1" applyFill="1" applyBorder="1"/>
    <xf numFmtId="0" fontId="5" fillId="10" borderId="52" xfId="0" applyFont="1" applyFill="1" applyBorder="1" applyAlignment="1">
      <alignment horizontal="center"/>
    </xf>
    <xf numFmtId="0" fontId="5" fillId="10" borderId="54" xfId="0" applyFont="1" applyFill="1" applyBorder="1" applyAlignment="1">
      <alignment horizontal="center"/>
    </xf>
    <xf numFmtId="0" fontId="48" fillId="10" borderId="0" xfId="0" applyFont="1" applyFill="1" applyBorder="1" applyAlignment="1">
      <alignment vertical="center" wrapText="1"/>
    </xf>
    <xf numFmtId="0" fontId="6" fillId="10" borderId="0" xfId="0" applyFont="1" applyFill="1" applyBorder="1" applyAlignment="1">
      <alignment horizontal="left"/>
    </xf>
    <xf numFmtId="1" fontId="5" fillId="10" borderId="1" xfId="0" applyNumberFormat="1" applyFont="1" applyFill="1" applyBorder="1" applyAlignment="1">
      <alignment horizontal="center"/>
    </xf>
    <xf numFmtId="1" fontId="5" fillId="10" borderId="16" xfId="0" applyNumberFormat="1" applyFont="1" applyFill="1" applyBorder="1" applyAlignment="1">
      <alignment horizontal="center"/>
    </xf>
    <xf numFmtId="0" fontId="5" fillId="10" borderId="0" xfId="0" applyFont="1" applyFill="1" applyAlignment="1">
      <alignment horizontal="left"/>
    </xf>
    <xf numFmtId="0" fontId="3" fillId="10" borderId="0" xfId="0" applyFont="1" applyFill="1" applyAlignment="1">
      <alignment horizontal="center"/>
    </xf>
    <xf numFmtId="0" fontId="5" fillId="10" borderId="0" xfId="0" applyFont="1" applyFill="1" applyBorder="1" applyAlignment="1">
      <alignment horizontal="left"/>
    </xf>
    <xf numFmtId="0" fontId="3" fillId="6" borderId="3" xfId="0" applyFont="1" applyFill="1" applyBorder="1" applyAlignment="1">
      <alignment horizontal="center"/>
    </xf>
    <xf numFmtId="0" fontId="3" fillId="6" borderId="1" xfId="0" applyFont="1" applyFill="1" applyBorder="1" applyAlignment="1">
      <alignment horizontal="center"/>
    </xf>
    <xf numFmtId="0" fontId="3" fillId="10" borderId="3" xfId="0" applyFont="1" applyFill="1" applyBorder="1" applyAlignment="1">
      <alignment horizontal="center"/>
    </xf>
    <xf numFmtId="0" fontId="3" fillId="10" borderId="0" xfId="0" applyFont="1" applyFill="1" applyBorder="1" applyAlignment="1">
      <alignment horizontal="left"/>
    </xf>
    <xf numFmtId="0" fontId="5" fillId="10" borderId="4" xfId="0" applyFont="1" applyFill="1" applyBorder="1" applyAlignment="1">
      <alignment horizontal="center"/>
    </xf>
    <xf numFmtId="0" fontId="17" fillId="10" borderId="0" xfId="0" applyFont="1" applyFill="1" applyBorder="1"/>
    <xf numFmtId="1" fontId="5" fillId="10" borderId="19" xfId="0" applyNumberFormat="1" applyFont="1" applyFill="1" applyBorder="1" applyAlignment="1">
      <alignment horizontal="center"/>
    </xf>
    <xf numFmtId="0" fontId="40" fillId="10" borderId="0" xfId="0" applyFont="1" applyFill="1" applyBorder="1" applyAlignment="1">
      <alignment horizontal="center"/>
    </xf>
    <xf numFmtId="0" fontId="6" fillId="10" borderId="0" xfId="0" applyFont="1" applyFill="1" applyBorder="1" applyAlignment="1">
      <alignment horizontal="center" vertical="center"/>
    </xf>
    <xf numFmtId="165" fontId="4" fillId="10" borderId="0" xfId="0" applyNumberFormat="1" applyFont="1" applyFill="1" applyBorder="1" applyAlignment="1">
      <alignment horizontal="center"/>
    </xf>
    <xf numFmtId="165" fontId="5" fillId="10" borderId="0" xfId="0" applyNumberFormat="1" applyFont="1" applyFill="1" applyBorder="1" applyAlignment="1">
      <alignment horizontal="center"/>
    </xf>
    <xf numFmtId="0" fontId="3" fillId="10" borderId="0" xfId="0" applyFont="1" applyFill="1" applyBorder="1" applyAlignment="1">
      <alignment horizontal="center"/>
    </xf>
    <xf numFmtId="0" fontId="81" fillId="10" borderId="0" xfId="0" applyFont="1" applyFill="1" applyBorder="1"/>
    <xf numFmtId="0" fontId="81" fillId="10" borderId="0" xfId="0" applyFont="1" applyFill="1"/>
    <xf numFmtId="0" fontId="3" fillId="10" borderId="24" xfId="0" applyFont="1" applyFill="1" applyBorder="1" applyAlignment="1">
      <alignment horizontal="center"/>
    </xf>
    <xf numFmtId="0" fontId="3" fillId="10" borderId="50" xfId="0" applyFont="1" applyFill="1" applyBorder="1" applyAlignment="1">
      <alignment horizontal="center"/>
    </xf>
    <xf numFmtId="0" fontId="3" fillId="10" borderId="41" xfId="0" applyFont="1" applyFill="1" applyBorder="1" applyAlignment="1">
      <alignment horizontal="center"/>
    </xf>
    <xf numFmtId="0" fontId="3" fillId="10" borderId="57" xfId="0" applyFont="1" applyFill="1" applyBorder="1" applyAlignment="1">
      <alignment horizontal="center"/>
    </xf>
    <xf numFmtId="1" fontId="5" fillId="10" borderId="52" xfId="0" applyNumberFormat="1" applyFont="1" applyFill="1" applyBorder="1" applyAlignment="1">
      <alignment horizontal="center"/>
    </xf>
    <xf numFmtId="1" fontId="5" fillId="10" borderId="54" xfId="0" applyNumberFormat="1" applyFont="1" applyFill="1" applyBorder="1" applyAlignment="1">
      <alignment horizontal="center"/>
    </xf>
    <xf numFmtId="0" fontId="5" fillId="10" borderId="50" xfId="0" applyFont="1" applyFill="1" applyBorder="1" applyAlignment="1">
      <alignment horizontal="center" vertical="center"/>
    </xf>
    <xf numFmtId="0" fontId="5" fillId="10" borderId="39" xfId="0" applyFont="1" applyFill="1" applyBorder="1" applyAlignment="1">
      <alignment horizontal="center" vertical="center"/>
    </xf>
    <xf numFmtId="165" fontId="4" fillId="10" borderId="52" xfId="0" applyNumberFormat="1" applyFont="1" applyFill="1" applyBorder="1" applyAlignment="1">
      <alignment horizontal="center"/>
    </xf>
    <xf numFmtId="0" fontId="5" fillId="10" borderId="51" xfId="0" applyFont="1" applyFill="1" applyBorder="1" applyAlignment="1">
      <alignment horizontal="center" vertical="center"/>
    </xf>
    <xf numFmtId="165" fontId="4" fillId="10" borderId="54" xfId="0" applyNumberFormat="1" applyFont="1" applyFill="1" applyBorder="1" applyAlignment="1">
      <alignment horizontal="center"/>
    </xf>
    <xf numFmtId="0" fontId="5" fillId="6" borderId="48" xfId="0" applyFont="1" applyFill="1" applyBorder="1" applyAlignment="1">
      <alignment horizontal="center"/>
    </xf>
    <xf numFmtId="2" fontId="5" fillId="6" borderId="53" xfId="0" applyNumberFormat="1" applyFont="1" applyFill="1" applyBorder="1" applyAlignment="1">
      <alignment horizontal="center"/>
    </xf>
    <xf numFmtId="2" fontId="5" fillId="6" borderId="55" xfId="0" applyNumberFormat="1" applyFont="1" applyFill="1" applyBorder="1" applyAlignment="1">
      <alignment horizontal="center"/>
    </xf>
    <xf numFmtId="165" fontId="4" fillId="6" borderId="2" xfId="0" applyNumberFormat="1" applyFont="1" applyFill="1" applyBorder="1" applyAlignment="1">
      <alignment horizontal="center"/>
    </xf>
    <xf numFmtId="165" fontId="4" fillId="6" borderId="37" xfId="0" applyNumberFormat="1" applyFont="1" applyFill="1" applyBorder="1" applyAlignment="1">
      <alignment horizontal="center"/>
    </xf>
    <xf numFmtId="165" fontId="4" fillId="6" borderId="19" xfId="0" applyNumberFormat="1" applyFont="1" applyFill="1" applyBorder="1" applyAlignment="1">
      <alignment horizontal="center"/>
    </xf>
    <xf numFmtId="0" fontId="9" fillId="10" borderId="0" xfId="0" applyFont="1" applyFill="1" applyBorder="1" applyAlignment="1">
      <alignment horizontal="center"/>
    </xf>
    <xf numFmtId="0" fontId="8" fillId="10" borderId="0" xfId="0" applyFont="1" applyFill="1"/>
    <xf numFmtId="167" fontId="5" fillId="10" borderId="0" xfId="1" applyNumberFormat="1" applyFont="1" applyFill="1" applyBorder="1" applyAlignment="1">
      <alignment horizontal="center" vertical="center"/>
    </xf>
    <xf numFmtId="0" fontId="5" fillId="10" borderId="0" xfId="0" applyFont="1" applyFill="1" applyBorder="1" applyAlignment="1">
      <alignment horizontal="center" vertical="center"/>
    </xf>
    <xf numFmtId="0" fontId="8" fillId="10" borderId="0" xfId="0" applyFont="1" applyFill="1" applyBorder="1" applyAlignment="1">
      <alignment horizontal="center"/>
    </xf>
    <xf numFmtId="0" fontId="5" fillId="10" borderId="0" xfId="0" applyFont="1" applyFill="1" applyBorder="1" applyAlignment="1">
      <alignment vertical="center" wrapText="1"/>
    </xf>
    <xf numFmtId="2" fontId="5" fillId="6" borderId="1" xfId="0" applyNumberFormat="1" applyFont="1" applyFill="1" applyBorder="1" applyAlignment="1">
      <alignment horizontal="center" vertical="center"/>
    </xf>
    <xf numFmtId="1" fontId="6" fillId="6" borderId="3" xfId="0" applyNumberFormat="1" applyFont="1" applyFill="1" applyBorder="1" applyAlignment="1">
      <alignment horizontal="center"/>
    </xf>
    <xf numFmtId="0" fontId="48" fillId="6" borderId="1" xfId="0" applyFont="1" applyFill="1" applyBorder="1" applyAlignment="1">
      <alignment horizontal="center"/>
    </xf>
    <xf numFmtId="165" fontId="5" fillId="6" borderId="3" xfId="0" applyNumberFormat="1" applyFont="1" applyFill="1" applyBorder="1" applyAlignment="1">
      <alignment horizontal="center"/>
    </xf>
    <xf numFmtId="167" fontId="100" fillId="10" borderId="0" xfId="1" applyNumberFormat="1" applyFont="1" applyFill="1" applyBorder="1" applyAlignment="1">
      <alignment horizontal="left"/>
    </xf>
    <xf numFmtId="0" fontId="17" fillId="10" borderId="0" xfId="0" applyFont="1" applyFill="1" applyBorder="1" applyAlignment="1"/>
    <xf numFmtId="1" fontId="6" fillId="10" borderId="0" xfId="0" applyNumberFormat="1" applyFont="1" applyFill="1" applyBorder="1" applyAlignment="1">
      <alignment horizontal="left"/>
    </xf>
    <xf numFmtId="0" fontId="7" fillId="10" borderId="0" xfId="0" applyFont="1" applyFill="1" applyAlignment="1">
      <alignment horizontal="right"/>
    </xf>
    <xf numFmtId="165" fontId="7" fillId="10" borderId="0" xfId="0" applyNumberFormat="1" applyFont="1" applyFill="1" applyAlignment="1">
      <alignment horizontal="center"/>
    </xf>
    <xf numFmtId="0" fontId="7" fillId="10" borderId="0" xfId="0" applyFont="1" applyFill="1" applyAlignment="1">
      <alignment horizontal="left"/>
    </xf>
    <xf numFmtId="0" fontId="5" fillId="10" borderId="0" xfId="0" applyFont="1" applyFill="1" applyAlignment="1">
      <alignment horizontal="center" textRotation="90"/>
    </xf>
    <xf numFmtId="0" fontId="5" fillId="10" borderId="2" xfId="0" applyFont="1" applyFill="1" applyBorder="1"/>
    <xf numFmtId="0" fontId="5" fillId="10" borderId="3" xfId="0" applyFont="1" applyFill="1" applyBorder="1"/>
    <xf numFmtId="2" fontId="17" fillId="6" borderId="1" xfId="0" applyNumberFormat="1" applyFont="1" applyFill="1" applyBorder="1" applyAlignment="1">
      <alignment horizontal="center"/>
    </xf>
    <xf numFmtId="0" fontId="17" fillId="6" borderId="1" xfId="0" applyFont="1" applyFill="1" applyBorder="1" applyAlignment="1">
      <alignment horizontal="center"/>
    </xf>
    <xf numFmtId="0" fontId="6" fillId="10" borderId="0" xfId="0" applyFont="1" applyFill="1" applyAlignment="1">
      <alignment horizontal="left"/>
    </xf>
    <xf numFmtId="0" fontId="7" fillId="10" borderId="1" xfId="0" applyFont="1" applyFill="1" applyBorder="1" applyAlignment="1">
      <alignment horizontal="center"/>
    </xf>
    <xf numFmtId="14" fontId="5" fillId="10" borderId="1" xfId="0" applyNumberFormat="1" applyFont="1" applyFill="1" applyBorder="1" applyAlignment="1">
      <alignment horizontal="center"/>
    </xf>
    <xf numFmtId="14" fontId="5" fillId="10" borderId="0" xfId="0" applyNumberFormat="1" applyFont="1" applyFill="1" applyBorder="1" applyAlignment="1">
      <alignment horizontal="center"/>
    </xf>
    <xf numFmtId="2" fontId="5" fillId="10" borderId="0" xfId="0" applyNumberFormat="1" applyFont="1" applyFill="1" applyBorder="1" applyAlignment="1">
      <alignment horizontal="center"/>
    </xf>
    <xf numFmtId="0" fontId="6" fillId="10" borderId="0" xfId="3" applyFont="1" applyFill="1"/>
    <xf numFmtId="165" fontId="6" fillId="10" borderId="0" xfId="0" applyNumberFormat="1" applyFont="1" applyFill="1" applyBorder="1" applyAlignment="1">
      <alignment horizontal="left"/>
    </xf>
    <xf numFmtId="0" fontId="48" fillId="10" borderId="0" xfId="0" applyFont="1" applyFill="1" applyAlignment="1">
      <alignment horizontal="right"/>
    </xf>
    <xf numFmtId="0" fontId="17" fillId="10" borderId="0" xfId="0" applyFont="1" applyFill="1" applyAlignment="1">
      <alignment horizontal="left"/>
    </xf>
    <xf numFmtId="0" fontId="88" fillId="10" borderId="0" xfId="0" applyFont="1" applyFill="1" applyAlignment="1">
      <alignment horizontal="center"/>
    </xf>
    <xf numFmtId="0" fontId="17" fillId="10" borderId="1" xfId="0" applyFont="1" applyFill="1" applyBorder="1" applyAlignment="1">
      <alignment horizontal="center"/>
    </xf>
    <xf numFmtId="165" fontId="48" fillId="10" borderId="0" xfId="0" applyNumberFormat="1" applyFont="1" applyFill="1" applyAlignment="1">
      <alignment horizontal="center"/>
    </xf>
    <xf numFmtId="0" fontId="17" fillId="10" borderId="0" xfId="0" applyFont="1" applyFill="1" applyAlignment="1">
      <alignment horizontal="center"/>
    </xf>
    <xf numFmtId="1" fontId="17" fillId="10" borderId="1" xfId="0" applyNumberFormat="1" applyFont="1" applyFill="1" applyBorder="1" applyAlignment="1">
      <alignment horizontal="center"/>
    </xf>
    <xf numFmtId="0" fontId="17" fillId="10" borderId="0" xfId="0" applyFont="1" applyFill="1" applyBorder="1" applyAlignment="1">
      <alignment horizontal="center"/>
    </xf>
    <xf numFmtId="0" fontId="6" fillId="10" borderId="23" xfId="0" applyFont="1" applyFill="1" applyBorder="1" applyAlignment="1">
      <alignment vertical="center" wrapText="1"/>
    </xf>
    <xf numFmtId="0" fontId="17" fillId="10" borderId="23" xfId="0" applyFont="1" applyFill="1" applyBorder="1"/>
    <xf numFmtId="165" fontId="48" fillId="10" borderId="1" xfId="0" applyNumberFormat="1" applyFont="1" applyFill="1" applyBorder="1" applyAlignment="1">
      <alignment horizontal="center"/>
    </xf>
    <xf numFmtId="0" fontId="17" fillId="10" borderId="0" xfId="0" applyFont="1" applyFill="1" applyAlignment="1"/>
    <xf numFmtId="1" fontId="17" fillId="10" borderId="0" xfId="0" applyNumberFormat="1" applyFont="1" applyFill="1" applyBorder="1" applyAlignment="1">
      <alignment horizontal="center"/>
    </xf>
    <xf numFmtId="0" fontId="17" fillId="10" borderId="0" xfId="3" applyFont="1" applyFill="1"/>
    <xf numFmtId="1" fontId="5" fillId="10" borderId="0" xfId="3" applyNumberFormat="1" applyFont="1" applyFill="1" applyBorder="1" applyAlignment="1">
      <alignment horizontal="center"/>
    </xf>
    <xf numFmtId="1" fontId="72" fillId="10" borderId="52" xfId="3" applyNumberFormat="1" applyFont="1" applyFill="1" applyBorder="1" applyAlignment="1">
      <alignment horizontal="center"/>
    </xf>
    <xf numFmtId="1" fontId="72" fillId="10" borderId="53" xfId="3" applyNumberFormat="1" applyFont="1" applyFill="1" applyBorder="1" applyAlignment="1">
      <alignment horizontal="center"/>
    </xf>
    <xf numFmtId="0" fontId="17" fillId="10" borderId="68" xfId="3" applyFont="1" applyFill="1" applyBorder="1"/>
    <xf numFmtId="0" fontId="17" fillId="10" borderId="0" xfId="3" applyFont="1" applyFill="1" applyAlignment="1">
      <alignment horizontal="center"/>
    </xf>
    <xf numFmtId="0" fontId="48" fillId="10" borderId="60" xfId="3" applyFont="1" applyFill="1" applyBorder="1" applyAlignment="1">
      <alignment horizontal="center"/>
    </xf>
    <xf numFmtId="0" fontId="17" fillId="10" borderId="0" xfId="3" applyFont="1" applyFill="1" applyBorder="1" applyAlignment="1">
      <alignment horizontal="center"/>
    </xf>
    <xf numFmtId="1" fontId="6" fillId="10" borderId="0" xfId="3" applyNumberFormat="1" applyFont="1" applyFill="1" applyBorder="1" applyAlignment="1">
      <alignment horizontal="center"/>
    </xf>
    <xf numFmtId="165" fontId="6" fillId="10" borderId="13" xfId="3" applyNumberFormat="1" applyFont="1" applyFill="1" applyBorder="1" applyAlignment="1">
      <alignment horizontal="center"/>
    </xf>
    <xf numFmtId="1" fontId="6" fillId="10" borderId="11" xfId="3" applyNumberFormat="1" applyFont="1" applyFill="1" applyBorder="1" applyAlignment="1">
      <alignment horizontal="center"/>
    </xf>
    <xf numFmtId="2" fontId="5" fillId="6" borderId="1" xfId="3" applyNumberFormat="1" applyFont="1" applyFill="1" applyBorder="1" applyAlignment="1">
      <alignment horizontal="center" vertical="center"/>
    </xf>
    <xf numFmtId="1" fontId="5" fillId="6" borderId="1" xfId="3" applyNumberFormat="1" applyFont="1" applyFill="1" applyBorder="1" applyAlignment="1">
      <alignment horizontal="center" vertical="center"/>
    </xf>
    <xf numFmtId="165" fontId="5" fillId="6" borderId="1" xfId="3" applyNumberFormat="1" applyFont="1" applyFill="1" applyBorder="1" applyAlignment="1">
      <alignment horizontal="center" vertical="center"/>
    </xf>
    <xf numFmtId="0" fontId="5" fillId="6" borderId="1" xfId="3" applyFont="1" applyFill="1" applyBorder="1" applyAlignment="1">
      <alignment vertical="center"/>
    </xf>
    <xf numFmtId="0" fontId="5" fillId="6" borderId="2" xfId="3" applyFont="1" applyFill="1" applyBorder="1" applyAlignment="1">
      <alignment horizontal="center" vertical="center"/>
    </xf>
    <xf numFmtId="0" fontId="5" fillId="6" borderId="58" xfId="3" applyFont="1" applyFill="1" applyBorder="1" applyAlignment="1">
      <alignment horizontal="center" vertical="center"/>
    </xf>
    <xf numFmtId="0" fontId="17" fillId="10" borderId="0" xfId="0" applyFont="1" applyFill="1" applyAlignment="1">
      <alignment vertical="center"/>
    </xf>
    <xf numFmtId="0" fontId="5" fillId="6" borderId="59" xfId="3" applyFont="1" applyFill="1" applyBorder="1" applyAlignment="1">
      <alignment horizontal="center" vertical="center"/>
    </xf>
    <xf numFmtId="1" fontId="5" fillId="6" borderId="52" xfId="3" applyNumberFormat="1" applyFont="1" applyFill="1" applyBorder="1" applyAlignment="1">
      <alignment horizontal="center" vertical="center"/>
    </xf>
    <xf numFmtId="165" fontId="5" fillId="6" borderId="53" xfId="3" applyNumberFormat="1" applyFont="1" applyFill="1" applyBorder="1" applyAlignment="1">
      <alignment horizontal="center" vertical="center"/>
    </xf>
    <xf numFmtId="1" fontId="72" fillId="10" borderId="52" xfId="3" applyNumberFormat="1" applyFont="1" applyFill="1" applyBorder="1" applyAlignment="1">
      <alignment horizontal="center" vertical="center"/>
    </xf>
    <xf numFmtId="1" fontId="72" fillId="10" borderId="53" xfId="3" applyNumberFormat="1" applyFont="1" applyFill="1" applyBorder="1" applyAlignment="1">
      <alignment horizontal="center" vertical="center"/>
    </xf>
    <xf numFmtId="1" fontId="5" fillId="10" borderId="0" xfId="3" applyNumberFormat="1" applyFont="1" applyFill="1" applyBorder="1" applyAlignment="1">
      <alignment horizontal="right" vertical="center"/>
    </xf>
    <xf numFmtId="0" fontId="17" fillId="6" borderId="16" xfId="0" applyFont="1" applyFill="1" applyBorder="1" applyAlignment="1">
      <alignment vertical="center"/>
    </xf>
    <xf numFmtId="0" fontId="17" fillId="6" borderId="1" xfId="0" applyFont="1" applyFill="1" applyBorder="1" applyAlignment="1">
      <alignment vertical="center"/>
    </xf>
    <xf numFmtId="0" fontId="17" fillId="6" borderId="1" xfId="0" applyFont="1" applyFill="1" applyBorder="1" applyAlignment="1" applyProtection="1">
      <alignment vertical="center"/>
    </xf>
    <xf numFmtId="14" fontId="17" fillId="6" borderId="16" xfId="0" applyNumberFormat="1" applyFont="1" applyFill="1" applyBorder="1" applyAlignment="1">
      <alignment vertical="center"/>
    </xf>
    <xf numFmtId="14" fontId="17" fillId="6" borderId="1" xfId="0" applyNumberFormat="1" applyFont="1" applyFill="1" applyBorder="1" applyAlignment="1">
      <alignment vertical="center"/>
    </xf>
    <xf numFmtId="0" fontId="10" fillId="0" borderId="7" xfId="0" applyFont="1" applyFill="1" applyBorder="1" applyAlignment="1">
      <alignment horizontal="center"/>
    </xf>
    <xf numFmtId="1" fontId="5" fillId="0" borderId="42" xfId="0" applyNumberFormat="1" applyFont="1" applyFill="1" applyBorder="1" applyAlignment="1">
      <alignment horizontal="center"/>
    </xf>
    <xf numFmtId="1" fontId="5" fillId="10" borderId="0" xfId="3" applyNumberFormat="1" applyFont="1" applyFill="1" applyBorder="1" applyAlignment="1">
      <alignment horizontal="center"/>
    </xf>
    <xf numFmtId="0" fontId="6" fillId="0" borderId="0" xfId="0" applyFont="1" applyFill="1" applyBorder="1" applyAlignment="1">
      <alignment horizontal="left"/>
    </xf>
    <xf numFmtId="0" fontId="35" fillId="0" borderId="0" xfId="3" applyFont="1" applyFill="1" applyBorder="1" applyAlignment="1">
      <alignment horizontal="center"/>
    </xf>
    <xf numFmtId="0" fontId="5" fillId="0" borderId="0" xfId="3" applyFont="1" applyFill="1" applyAlignment="1">
      <alignment horizontal="right"/>
    </xf>
    <xf numFmtId="0" fontId="10" fillId="0" borderId="9" xfId="0" applyFont="1" applyFill="1" applyBorder="1" applyAlignment="1">
      <alignment horizontal="left"/>
    </xf>
    <xf numFmtId="0" fontId="6" fillId="0" borderId="23" xfId="0" applyFont="1" applyFill="1" applyBorder="1" applyAlignment="1">
      <alignment horizontal="left"/>
    </xf>
    <xf numFmtId="0" fontId="6" fillId="0" borderId="15" xfId="0" applyFont="1" applyFill="1" applyBorder="1" applyAlignment="1">
      <alignment horizontal="left"/>
    </xf>
    <xf numFmtId="0" fontId="5" fillId="0" borderId="15" xfId="0" applyFont="1" applyFill="1" applyBorder="1" applyAlignment="1">
      <alignment horizontal="left"/>
    </xf>
    <xf numFmtId="1" fontId="5" fillId="10" borderId="0" xfId="3" applyNumberFormat="1" applyFont="1" applyFill="1" applyBorder="1" applyAlignment="1">
      <alignment horizontal="right"/>
    </xf>
    <xf numFmtId="0" fontId="6" fillId="0" borderId="33" xfId="0" applyFont="1" applyFill="1" applyBorder="1" applyAlignment="1">
      <alignment horizontal="center"/>
    </xf>
    <xf numFmtId="1" fontId="5" fillId="0" borderId="22" xfId="3" applyNumberFormat="1" applyFont="1" applyFill="1" applyBorder="1" applyAlignment="1">
      <alignment horizontal="center"/>
    </xf>
    <xf numFmtId="1" fontId="6" fillId="10" borderId="64" xfId="3" applyNumberFormat="1" applyFont="1" applyFill="1" applyBorder="1" applyAlignment="1">
      <alignment horizontal="center"/>
    </xf>
    <xf numFmtId="168" fontId="5" fillId="6" borderId="52" xfId="3" applyNumberFormat="1" applyFont="1" applyFill="1" applyBorder="1" applyAlignment="1">
      <alignment horizontal="center" vertical="center"/>
    </xf>
    <xf numFmtId="0" fontId="17" fillId="10" borderId="4" xfId="3" applyFont="1" applyFill="1" applyBorder="1"/>
    <xf numFmtId="165" fontId="6" fillId="10" borderId="4" xfId="3" applyNumberFormat="1" applyFont="1" applyFill="1" applyBorder="1" applyAlignment="1">
      <alignment horizontal="center"/>
    </xf>
    <xf numFmtId="1" fontId="5" fillId="10" borderId="31" xfId="3" applyNumberFormat="1" applyFont="1" applyFill="1" applyBorder="1" applyAlignment="1">
      <alignment horizontal="center"/>
    </xf>
    <xf numFmtId="0" fontId="17" fillId="10" borderId="0" xfId="3" applyFont="1" applyFill="1" applyBorder="1"/>
    <xf numFmtId="0" fontId="17" fillId="10" borderId="4" xfId="3" applyFont="1" applyFill="1" applyBorder="1" applyAlignment="1">
      <alignment horizontal="center"/>
    </xf>
    <xf numFmtId="1" fontId="5" fillId="10" borderId="4" xfId="3" applyNumberFormat="1" applyFont="1" applyFill="1" applyBorder="1" applyAlignment="1">
      <alignment horizontal="center"/>
    </xf>
    <xf numFmtId="1" fontId="6" fillId="10" borderId="33" xfId="3" applyNumberFormat="1" applyFont="1" applyFill="1" applyBorder="1" applyAlignment="1">
      <alignment horizontal="center"/>
    </xf>
    <xf numFmtId="1" fontId="6" fillId="10" borderId="18" xfId="3" applyNumberFormat="1" applyFont="1" applyFill="1" applyBorder="1" applyAlignment="1">
      <alignment horizontal="center"/>
    </xf>
    <xf numFmtId="0" fontId="17" fillId="10" borderId="18" xfId="3" applyFont="1" applyFill="1" applyBorder="1"/>
    <xf numFmtId="1" fontId="5" fillId="10" borderId="18" xfId="3" applyNumberFormat="1" applyFont="1" applyFill="1" applyBorder="1" applyAlignment="1">
      <alignment horizontal="center"/>
    </xf>
    <xf numFmtId="1" fontId="5" fillId="10" borderId="0" xfId="3" applyNumberFormat="1" applyFont="1" applyFill="1" applyBorder="1" applyAlignment="1">
      <alignment wrapText="1"/>
    </xf>
    <xf numFmtId="1" fontId="5" fillId="10" borderId="0" xfId="3" applyNumberFormat="1" applyFont="1" applyFill="1" applyBorder="1" applyAlignment="1">
      <alignment horizontal="center" vertical="center" wrapText="1"/>
    </xf>
    <xf numFmtId="0" fontId="0" fillId="0" borderId="18" xfId="0" applyBorder="1"/>
    <xf numFmtId="0" fontId="0" fillId="0" borderId="12" xfId="0" applyBorder="1"/>
    <xf numFmtId="0" fontId="20" fillId="0" borderId="36" xfId="0" applyFont="1" applyFill="1" applyBorder="1" applyAlignment="1">
      <alignment horizontal="left"/>
    </xf>
    <xf numFmtId="0" fontId="0" fillId="0" borderId="36" xfId="0" applyBorder="1"/>
    <xf numFmtId="0" fontId="20" fillId="0" borderId="64" xfId="0" applyFont="1" applyFill="1" applyBorder="1" applyAlignment="1">
      <alignment horizontal="left"/>
    </xf>
    <xf numFmtId="0" fontId="0" fillId="0" borderId="21" xfId="0" applyBorder="1"/>
    <xf numFmtId="0" fontId="5" fillId="0" borderId="53" xfId="0" applyFont="1" applyFill="1" applyBorder="1" applyAlignment="1">
      <alignment horizontal="center" vertical="center" wrapText="1"/>
    </xf>
    <xf numFmtId="0" fontId="5" fillId="0" borderId="53" xfId="0" applyFont="1" applyFill="1" applyBorder="1" applyAlignment="1">
      <alignment horizontal="center" vertical="center"/>
    </xf>
    <xf numFmtId="2" fontId="5" fillId="0" borderId="25" xfId="1" applyNumberFormat="1" applyFont="1" applyFill="1" applyBorder="1" applyAlignment="1">
      <alignment horizontal="center" vertical="center"/>
    </xf>
    <xf numFmtId="2" fontId="5" fillId="0" borderId="3" xfId="1" applyNumberFormat="1" applyFont="1" applyFill="1" applyBorder="1" applyAlignment="1">
      <alignment horizontal="center" vertical="center"/>
    </xf>
    <xf numFmtId="0" fontId="1" fillId="0" borderId="5" xfId="0" applyFont="1" applyFill="1" applyBorder="1" applyAlignment="1">
      <alignment horizontal="right" vertical="center"/>
    </xf>
    <xf numFmtId="2" fontId="5" fillId="0" borderId="35" xfId="0" applyNumberFormat="1" applyFont="1" applyFill="1" applyBorder="1" applyAlignment="1">
      <alignment horizontal="center" vertical="center"/>
    </xf>
    <xf numFmtId="2" fontId="33" fillId="0" borderId="40" xfId="1" applyNumberFormat="1" applyFont="1" applyFill="1" applyBorder="1" applyAlignment="1">
      <alignment horizontal="center"/>
    </xf>
    <xf numFmtId="0" fontId="6" fillId="0" borderId="24" xfId="0" applyFont="1" applyFill="1" applyBorder="1" applyAlignment="1">
      <alignment horizontal="left" vertical="center"/>
    </xf>
    <xf numFmtId="0" fontId="70" fillId="0" borderId="4" xfId="0" applyFont="1" applyFill="1" applyBorder="1" applyAlignment="1">
      <alignment horizontal="left"/>
    </xf>
    <xf numFmtId="0" fontId="70" fillId="0" borderId="23" xfId="0" applyFont="1" applyFill="1" applyBorder="1" applyAlignment="1">
      <alignment horizontal="left"/>
    </xf>
    <xf numFmtId="0" fontId="5" fillId="0" borderId="55" xfId="0" applyFont="1" applyFill="1" applyBorder="1" applyAlignment="1">
      <alignment horizontal="center" vertical="center"/>
    </xf>
    <xf numFmtId="2" fontId="5" fillId="0" borderId="35" xfId="1" applyNumberFormat="1" applyFont="1" applyFill="1" applyBorder="1" applyAlignment="1">
      <alignment horizontal="center" vertical="center"/>
    </xf>
    <xf numFmtId="0" fontId="5" fillId="0" borderId="7" xfId="0" applyFont="1" applyFill="1" applyBorder="1" applyAlignment="1"/>
    <xf numFmtId="0" fontId="5" fillId="0" borderId="0" xfId="0" applyFont="1" applyFill="1" applyBorder="1" applyAlignment="1"/>
    <xf numFmtId="0" fontId="5" fillId="0" borderId="33" xfId="0" applyFont="1" applyFill="1" applyBorder="1"/>
    <xf numFmtId="0" fontId="5" fillId="0" borderId="18" xfId="0" applyFont="1" applyFill="1" applyBorder="1"/>
    <xf numFmtId="0" fontId="5" fillId="0" borderId="12" xfId="0" applyFont="1" applyFill="1" applyBorder="1"/>
    <xf numFmtId="2" fontId="5" fillId="2" borderId="7" xfId="0" applyNumberFormat="1" applyFont="1" applyFill="1" applyBorder="1"/>
    <xf numFmtId="2" fontId="5" fillId="2" borderId="0" xfId="0" applyNumberFormat="1" applyFont="1" applyFill="1" applyBorder="1"/>
    <xf numFmtId="2" fontId="5" fillId="2" borderId="0" xfId="1" applyNumberFormat="1" applyFont="1" applyFill="1" applyBorder="1"/>
    <xf numFmtId="2" fontId="5" fillId="2" borderId="22" xfId="1" applyNumberFormat="1" applyFont="1" applyFill="1" applyBorder="1"/>
    <xf numFmtId="0" fontId="5" fillId="2" borderId="0" xfId="0" applyFont="1" applyFill="1" applyBorder="1"/>
    <xf numFmtId="0" fontId="5" fillId="2" borderId="22" xfId="0" applyFont="1" applyFill="1" applyBorder="1"/>
    <xf numFmtId="2" fontId="5" fillId="2" borderId="32" xfId="0" applyNumberFormat="1" applyFont="1" applyFill="1" applyBorder="1"/>
    <xf numFmtId="2" fontId="5" fillId="2" borderId="4" xfId="0" applyNumberFormat="1" applyFont="1" applyFill="1" applyBorder="1"/>
    <xf numFmtId="9" fontId="5" fillId="2" borderId="4" xfId="1" applyFont="1" applyFill="1" applyBorder="1"/>
    <xf numFmtId="0" fontId="5" fillId="2" borderId="5" xfId="0" applyFont="1" applyFill="1" applyBorder="1"/>
    <xf numFmtId="2" fontId="5" fillId="0" borderId="7" xfId="0" applyNumberFormat="1" applyFont="1" applyFill="1" applyBorder="1"/>
    <xf numFmtId="2" fontId="5" fillId="0" borderId="0" xfId="1" applyNumberFormat="1" applyFont="1" applyFill="1" applyBorder="1"/>
    <xf numFmtId="2" fontId="5" fillId="0" borderId="22" xfId="1" applyNumberFormat="1" applyFont="1" applyFill="1" applyBorder="1"/>
    <xf numFmtId="9" fontId="5" fillId="0" borderId="0" xfId="1" applyFont="1" applyFill="1" applyBorder="1"/>
    <xf numFmtId="0" fontId="5" fillId="0" borderId="22" xfId="0" applyFont="1" applyFill="1" applyBorder="1"/>
    <xf numFmtId="2" fontId="5" fillId="0" borderId="32" xfId="0" applyNumberFormat="1" applyFont="1" applyFill="1" applyBorder="1"/>
    <xf numFmtId="2" fontId="5" fillId="0" borderId="4" xfId="0" applyNumberFormat="1" applyFont="1" applyFill="1" applyBorder="1"/>
    <xf numFmtId="9" fontId="5" fillId="0" borderId="4" xfId="1" applyFont="1" applyFill="1" applyBorder="1"/>
    <xf numFmtId="0" fontId="5" fillId="0" borderId="5" xfId="0" applyFont="1" applyFill="1" applyBorder="1"/>
    <xf numFmtId="167" fontId="5" fillId="0" borderId="2" xfId="0" applyNumberFormat="1" applyFont="1" applyFill="1" applyBorder="1" applyAlignment="1">
      <alignment horizontal="center" vertical="center"/>
    </xf>
    <xf numFmtId="0" fontId="1" fillId="0" borderId="0" xfId="3" applyAlignment="1">
      <alignment vertical="center" wrapText="1"/>
    </xf>
    <xf numFmtId="0" fontId="36" fillId="0" borderId="15" xfId="0" applyFont="1" applyFill="1" applyBorder="1" applyAlignment="1">
      <alignment horizontal="left"/>
    </xf>
    <xf numFmtId="1" fontId="5" fillId="0" borderId="33" xfId="0" applyNumberFormat="1" applyFont="1" applyFill="1" applyBorder="1" applyAlignment="1">
      <alignment horizontal="center"/>
    </xf>
    <xf numFmtId="0" fontId="38" fillId="0" borderId="18" xfId="0" applyFont="1" applyFill="1" applyBorder="1"/>
    <xf numFmtId="1" fontId="5" fillId="0" borderId="7" xfId="0" applyNumberFormat="1" applyFont="1" applyFill="1" applyBorder="1" applyAlignment="1">
      <alignment horizontal="center"/>
    </xf>
    <xf numFmtId="1" fontId="5" fillId="0" borderId="45" xfId="0" applyNumberFormat="1" applyFont="1" applyFill="1" applyBorder="1" applyAlignment="1">
      <alignment horizontal="left"/>
    </xf>
    <xf numFmtId="1" fontId="5" fillId="0" borderId="22" xfId="0" applyNumberFormat="1" applyFont="1" applyFill="1" applyBorder="1" applyAlignment="1">
      <alignment horizontal="left"/>
    </xf>
    <xf numFmtId="165" fontId="4" fillId="0" borderId="16" xfId="2" applyNumberFormat="1" applyFont="1" applyFill="1" applyBorder="1" applyAlignment="1">
      <alignment horizontal="center"/>
    </xf>
    <xf numFmtId="165" fontId="5" fillId="0" borderId="35" xfId="0" applyNumberFormat="1" applyFont="1" applyBorder="1" applyAlignment="1">
      <alignment horizontal="center"/>
    </xf>
    <xf numFmtId="0" fontId="5" fillId="5" borderId="1" xfId="0" applyFont="1" applyFill="1" applyBorder="1" applyAlignment="1">
      <alignment horizontal="center" vertical="center"/>
    </xf>
    <xf numFmtId="0" fontId="77" fillId="0" borderId="32" xfId="0" applyFont="1" applyFill="1" applyBorder="1" applyAlignment="1">
      <alignment horizontal="left"/>
    </xf>
    <xf numFmtId="2" fontId="101" fillId="10" borderId="11" xfId="0" applyNumberFormat="1" applyFont="1" applyFill="1" applyBorder="1" applyAlignment="1">
      <alignment horizontal="center" vertical="center"/>
    </xf>
    <xf numFmtId="2" fontId="4" fillId="6" borderId="1" xfId="0" applyNumberFormat="1" applyFont="1" applyFill="1" applyBorder="1" applyAlignment="1">
      <alignment horizontal="center"/>
    </xf>
    <xf numFmtId="2" fontId="4" fillId="6" borderId="63" xfId="0" applyNumberFormat="1" applyFont="1" applyFill="1" applyBorder="1" applyAlignment="1">
      <alignment horizontal="center"/>
    </xf>
    <xf numFmtId="168" fontId="5" fillId="6" borderId="1" xfId="3" applyNumberFormat="1" applyFont="1" applyFill="1" applyBorder="1" applyAlignment="1">
      <alignment horizontal="center" vertical="center"/>
    </xf>
    <xf numFmtId="168" fontId="17" fillId="10" borderId="0" xfId="3" applyNumberFormat="1" applyFont="1" applyFill="1" applyAlignment="1">
      <alignment horizontal="center"/>
    </xf>
    <xf numFmtId="168" fontId="6" fillId="10" borderId="64" xfId="3" applyNumberFormat="1" applyFont="1" applyFill="1" applyBorder="1" applyAlignment="1">
      <alignment horizontal="center"/>
    </xf>
    <xf numFmtId="169" fontId="5" fillId="6" borderId="52" xfId="3" applyNumberFormat="1" applyFont="1" applyFill="1" applyBorder="1" applyAlignment="1">
      <alignment horizontal="center" vertical="center"/>
    </xf>
    <xf numFmtId="2" fontId="5" fillId="0" borderId="38" xfId="0" applyNumberFormat="1" applyFont="1" applyFill="1" applyBorder="1" applyAlignment="1">
      <alignment horizontal="right"/>
    </xf>
    <xf numFmtId="167" fontId="5" fillId="0" borderId="22" xfId="1" applyNumberFormat="1" applyFont="1" applyFill="1" applyBorder="1" applyAlignment="1">
      <alignment horizontal="left"/>
    </xf>
    <xf numFmtId="0" fontId="5" fillId="0" borderId="32" xfId="0" applyFont="1" applyFill="1" applyBorder="1" applyAlignment="1">
      <alignment horizontal="center"/>
    </xf>
    <xf numFmtId="0" fontId="17" fillId="6" borderId="1" xfId="0" applyFont="1" applyFill="1" applyBorder="1" applyAlignment="1">
      <alignment horizontal="center"/>
    </xf>
    <xf numFmtId="0" fontId="6" fillId="0" borderId="0" xfId="0" applyFont="1" applyFill="1" applyBorder="1" applyAlignment="1">
      <alignment horizontal="left"/>
    </xf>
    <xf numFmtId="0" fontId="5" fillId="0" borderId="1" xfId="0" applyFont="1" applyFill="1" applyBorder="1" applyAlignment="1">
      <alignment horizontal="center"/>
    </xf>
    <xf numFmtId="0" fontId="5" fillId="0" borderId="0"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Alignment="1">
      <alignment horizontal="left"/>
    </xf>
    <xf numFmtId="165" fontId="48" fillId="10" borderId="0" xfId="0" applyNumberFormat="1" applyFont="1" applyFill="1" applyBorder="1" applyAlignment="1">
      <alignment horizontal="center" wrapText="1"/>
    </xf>
    <xf numFmtId="0" fontId="17" fillId="10" borderId="16" xfId="0" applyFont="1" applyFill="1" applyBorder="1" applyAlignment="1">
      <alignment horizontal="center"/>
    </xf>
    <xf numFmtId="0" fontId="17" fillId="6" borderId="16" xfId="0" applyFont="1" applyFill="1" applyBorder="1" applyAlignment="1">
      <alignment horizontal="center"/>
    </xf>
    <xf numFmtId="165" fontId="48" fillId="10" borderId="16" xfId="0" applyNumberFormat="1" applyFont="1" applyFill="1" applyBorder="1" applyAlignment="1">
      <alignment horizontal="center"/>
    </xf>
    <xf numFmtId="0" fontId="17" fillId="10" borderId="35" xfId="0" applyFont="1" applyFill="1" applyBorder="1" applyAlignment="1">
      <alignment horizontal="center"/>
    </xf>
    <xf numFmtId="0" fontId="17" fillId="6" borderId="35" xfId="0" applyFont="1" applyFill="1" applyBorder="1" applyAlignment="1">
      <alignment horizontal="center"/>
    </xf>
    <xf numFmtId="165" fontId="48" fillId="10" borderId="35" xfId="0" applyNumberFormat="1" applyFont="1" applyFill="1" applyBorder="1" applyAlignment="1">
      <alignment horizontal="center"/>
    </xf>
    <xf numFmtId="0" fontId="48" fillId="7" borderId="16" xfId="0" applyFont="1" applyFill="1" applyBorder="1" applyAlignment="1">
      <alignment horizontal="center"/>
    </xf>
    <xf numFmtId="0" fontId="48" fillId="7" borderId="1" xfId="0" applyFont="1" applyFill="1" applyBorder="1" applyAlignment="1">
      <alignment horizontal="center"/>
    </xf>
    <xf numFmtId="0" fontId="97" fillId="0" borderId="7" xfId="0" applyFont="1" applyFill="1" applyBorder="1" applyAlignment="1">
      <alignment horizontal="center" vertical="center"/>
    </xf>
    <xf numFmtId="0" fontId="33" fillId="0" borderId="36" xfId="0" applyFont="1" applyFill="1" applyBorder="1" applyAlignment="1">
      <alignment horizontal="left" vertical="center"/>
    </xf>
    <xf numFmtId="0" fontId="5" fillId="0" borderId="36" xfId="0" applyFont="1" applyFill="1" applyBorder="1" applyAlignment="1">
      <alignment horizontal="center" vertical="center"/>
    </xf>
    <xf numFmtId="0" fontId="5" fillId="0" borderId="36" xfId="0" applyFont="1" applyFill="1" applyBorder="1" applyAlignment="1">
      <alignment horizontal="left" vertical="center"/>
    </xf>
    <xf numFmtId="0" fontId="5" fillId="0" borderId="35" xfId="0" applyFont="1" applyFill="1" applyBorder="1" applyAlignment="1">
      <alignment horizontal="center" vertical="center"/>
    </xf>
    <xf numFmtId="0" fontId="10" fillId="0" borderId="30" xfId="0" applyFont="1" applyFill="1" applyBorder="1" applyAlignment="1">
      <alignment horizontal="left" vertical="center"/>
    </xf>
    <xf numFmtId="0" fontId="5" fillId="0" borderId="4" xfId="0" applyFont="1" applyFill="1" applyBorder="1" applyAlignment="1">
      <alignment horizontal="left" vertical="center"/>
    </xf>
    <xf numFmtId="0" fontId="6" fillId="0" borderId="33" xfId="0" applyFont="1" applyFill="1" applyBorder="1" applyAlignment="1">
      <alignment horizontal="center"/>
    </xf>
    <xf numFmtId="0" fontId="6" fillId="0" borderId="0" xfId="3" applyFont="1" applyFill="1" applyAlignment="1">
      <alignment horizontal="center" vertical="center"/>
    </xf>
    <xf numFmtId="165" fontId="5" fillId="0" borderId="2" xfId="3" applyNumberFormat="1" applyFont="1" applyFill="1" applyBorder="1" applyAlignment="1">
      <alignment horizontal="right" vertical="center"/>
    </xf>
    <xf numFmtId="0" fontId="5" fillId="0" borderId="26" xfId="0" applyFont="1" applyFill="1" applyBorder="1" applyAlignment="1">
      <alignment horizontal="center"/>
    </xf>
    <xf numFmtId="0" fontId="4" fillId="0" borderId="43" xfId="0" applyFont="1" applyFill="1" applyBorder="1" applyAlignment="1">
      <alignment horizontal="center"/>
    </xf>
    <xf numFmtId="0" fontId="5" fillId="0" borderId="73" xfId="0" applyFont="1" applyFill="1" applyBorder="1" applyAlignment="1">
      <alignment horizontal="center"/>
    </xf>
    <xf numFmtId="0" fontId="4" fillId="0" borderId="27" xfId="0" applyFont="1" applyFill="1" applyBorder="1" applyAlignment="1">
      <alignment horizontal="center"/>
    </xf>
    <xf numFmtId="0" fontId="5" fillId="0" borderId="28" xfId="0" applyFont="1" applyFill="1" applyBorder="1" applyAlignment="1">
      <alignment horizontal="center"/>
    </xf>
    <xf numFmtId="0" fontId="5" fillId="0" borderId="0" xfId="0" applyFont="1" applyFill="1" applyAlignment="1">
      <alignment horizontal="left"/>
    </xf>
    <xf numFmtId="0" fontId="6" fillId="0" borderId="22" xfId="0" applyFont="1" applyFill="1" applyBorder="1" applyAlignment="1">
      <alignment horizontal="left"/>
    </xf>
    <xf numFmtId="0" fontId="6" fillId="0" borderId="4" xfId="0" applyFont="1" applyFill="1" applyBorder="1" applyAlignment="1"/>
    <xf numFmtId="0" fontId="5" fillId="0" borderId="0" xfId="0" applyFont="1" applyFill="1" applyAlignment="1">
      <alignment horizontal="right"/>
    </xf>
    <xf numFmtId="2" fontId="10" fillId="0" borderId="0" xfId="0" applyNumberFormat="1" applyFont="1" applyFill="1" applyAlignment="1">
      <alignment horizontal="center"/>
    </xf>
    <xf numFmtId="0" fontId="36" fillId="0" borderId="0" xfId="0" applyFont="1" applyFill="1" applyAlignment="1">
      <alignment horizontal="center"/>
    </xf>
    <xf numFmtId="0" fontId="6" fillId="10" borderId="0" xfId="0" applyFont="1" applyFill="1" applyBorder="1" applyAlignment="1">
      <alignment horizontal="left"/>
    </xf>
    <xf numFmtId="0" fontId="5" fillId="10" borderId="2" xfId="0" applyFont="1" applyFill="1" applyBorder="1" applyAlignment="1">
      <alignment horizontal="center" wrapText="1"/>
    </xf>
    <xf numFmtId="0" fontId="17" fillId="10" borderId="3" xfId="0" applyFont="1" applyFill="1" applyBorder="1" applyAlignment="1">
      <alignment horizontal="center" wrapText="1"/>
    </xf>
    <xf numFmtId="0" fontId="65" fillId="10" borderId="0" xfId="0" applyFont="1" applyFill="1" applyAlignment="1">
      <alignment horizontal="center"/>
    </xf>
    <xf numFmtId="0" fontId="6" fillId="10" borderId="1" xfId="0" applyFont="1" applyFill="1" applyBorder="1" applyAlignment="1">
      <alignment horizontal="center"/>
    </xf>
    <xf numFmtId="0" fontId="48" fillId="7" borderId="24" xfId="0"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17" xfId="0" applyFont="1" applyFill="1" applyBorder="1" applyAlignment="1">
      <alignment horizontal="center" vertical="center" wrapText="1"/>
    </xf>
    <xf numFmtId="0" fontId="48" fillId="7" borderId="26" xfId="0" applyFont="1" applyFill="1" applyBorder="1" applyAlignment="1">
      <alignment horizontal="center" vertical="center" wrapText="1"/>
    </xf>
    <xf numFmtId="0" fontId="48" fillId="7" borderId="27" xfId="0" applyFont="1" applyFill="1" applyBorder="1" applyAlignment="1">
      <alignment horizontal="center" vertical="center" wrapText="1"/>
    </xf>
    <xf numFmtId="0" fontId="48" fillId="7" borderId="28" xfId="0" applyFont="1" applyFill="1" applyBorder="1" applyAlignment="1">
      <alignment horizontal="center" vertical="center" wrapText="1"/>
    </xf>
    <xf numFmtId="0" fontId="5" fillId="10" borderId="32" xfId="0" applyFont="1" applyFill="1" applyBorder="1" applyAlignment="1">
      <alignment horizontal="center" vertical="center"/>
    </xf>
    <xf numFmtId="0" fontId="17" fillId="10" borderId="5" xfId="0" applyFont="1" applyFill="1" applyBorder="1" applyAlignment="1">
      <alignment horizontal="center" vertical="center"/>
    </xf>
    <xf numFmtId="0" fontId="6" fillId="10" borderId="0" xfId="0" applyFont="1" applyFill="1" applyAlignment="1">
      <alignment horizontal="center"/>
    </xf>
    <xf numFmtId="0" fontId="5" fillId="10" borderId="2" xfId="0" applyNumberFormat="1" applyFont="1" applyFill="1" applyBorder="1" applyAlignment="1">
      <alignment horizontal="center"/>
    </xf>
    <xf numFmtId="0" fontId="5" fillId="10" borderId="3" xfId="0" applyNumberFormat="1" applyFont="1" applyFill="1" applyBorder="1" applyAlignment="1">
      <alignment horizontal="center"/>
    </xf>
    <xf numFmtId="1" fontId="6" fillId="10" borderId="43" xfId="3" applyNumberFormat="1" applyFont="1" applyFill="1" applyBorder="1" applyAlignment="1">
      <alignment horizontal="center" vertical="center"/>
    </xf>
    <xf numFmtId="1" fontId="6" fillId="10" borderId="12" xfId="3" applyNumberFormat="1" applyFont="1" applyFill="1" applyBorder="1" applyAlignment="1">
      <alignment horizontal="center" vertical="center"/>
    </xf>
    <xf numFmtId="1" fontId="6" fillId="10" borderId="30" xfId="3" applyNumberFormat="1" applyFont="1" applyFill="1" applyBorder="1" applyAlignment="1">
      <alignment horizontal="center" vertical="center"/>
    </xf>
    <xf numFmtId="1" fontId="6" fillId="10" borderId="5" xfId="3" applyNumberFormat="1" applyFont="1" applyFill="1" applyBorder="1" applyAlignment="1">
      <alignment horizontal="center" vertical="center"/>
    </xf>
    <xf numFmtId="165" fontId="5" fillId="10" borderId="1" xfId="0" applyNumberFormat="1" applyFont="1" applyFill="1" applyBorder="1" applyAlignment="1">
      <alignment horizontal="left" vertical="center"/>
    </xf>
    <xf numFmtId="0" fontId="5" fillId="10" borderId="1" xfId="0" applyFont="1" applyFill="1" applyBorder="1" applyAlignment="1">
      <alignment horizontal="center"/>
    </xf>
    <xf numFmtId="0" fontId="5" fillId="10" borderId="2" xfId="0" applyFont="1" applyFill="1" applyBorder="1" applyAlignment="1">
      <alignment horizontal="center"/>
    </xf>
    <xf numFmtId="0" fontId="48" fillId="10" borderId="1" xfId="0" applyFont="1" applyFill="1" applyBorder="1" applyAlignment="1">
      <alignment horizontal="center" vertical="center"/>
    </xf>
    <xf numFmtId="0" fontId="48" fillId="10" borderId="52" xfId="3" applyFont="1" applyFill="1" applyBorder="1" applyAlignment="1">
      <alignment horizontal="center" vertical="center"/>
    </xf>
    <xf numFmtId="0" fontId="48" fillId="10" borderId="53" xfId="3" applyFont="1" applyFill="1" applyBorder="1" applyAlignment="1">
      <alignment horizontal="center" vertical="center"/>
    </xf>
    <xf numFmtId="0" fontId="48" fillId="10" borderId="56" xfId="3" applyFont="1" applyFill="1" applyBorder="1" applyAlignment="1">
      <alignment horizontal="center"/>
    </xf>
    <xf numFmtId="0" fontId="48" fillId="10" borderId="57" xfId="3" applyFont="1" applyFill="1" applyBorder="1" applyAlignment="1">
      <alignment horizontal="center"/>
    </xf>
    <xf numFmtId="0" fontId="6" fillId="7" borderId="24" xfId="0" applyFont="1" applyFill="1" applyBorder="1" applyAlignment="1">
      <alignment horizontal="center" vertical="center" wrapText="1"/>
    </xf>
    <xf numFmtId="0" fontId="6" fillId="7" borderId="25" xfId="0" applyFont="1" applyFill="1" applyBorder="1" applyAlignment="1">
      <alignment horizontal="center" vertical="center" wrapText="1"/>
    </xf>
    <xf numFmtId="0" fontId="6" fillId="7" borderId="17" xfId="0" applyFont="1" applyFill="1" applyBorder="1" applyAlignment="1">
      <alignment horizontal="center" vertical="center" wrapText="1"/>
    </xf>
    <xf numFmtId="0" fontId="6" fillId="7" borderId="26" xfId="0" applyFont="1" applyFill="1" applyBorder="1" applyAlignment="1">
      <alignment horizontal="center" vertical="center" wrapText="1"/>
    </xf>
    <xf numFmtId="0" fontId="6" fillId="7" borderId="27" xfId="0" applyFont="1" applyFill="1" applyBorder="1" applyAlignment="1">
      <alignment horizontal="center" vertical="center" wrapText="1"/>
    </xf>
    <xf numFmtId="0" fontId="6" fillId="7" borderId="28" xfId="0" applyFont="1" applyFill="1" applyBorder="1" applyAlignment="1">
      <alignment horizontal="center" vertical="center" wrapText="1"/>
    </xf>
    <xf numFmtId="1" fontId="6" fillId="10" borderId="17" xfId="3" applyNumberFormat="1" applyFont="1" applyFill="1" applyBorder="1" applyAlignment="1">
      <alignment horizontal="center" vertical="center"/>
    </xf>
    <xf numFmtId="1" fontId="6" fillId="10" borderId="26" xfId="3" applyNumberFormat="1" applyFont="1" applyFill="1" applyBorder="1" applyAlignment="1">
      <alignment horizontal="center" vertical="center"/>
    </xf>
    <xf numFmtId="1" fontId="6" fillId="10" borderId="31" xfId="3" applyNumberFormat="1" applyFont="1" applyFill="1" applyBorder="1" applyAlignment="1">
      <alignment horizontal="center" vertical="center"/>
    </xf>
    <xf numFmtId="0" fontId="4" fillId="10" borderId="13" xfId="0" applyFont="1" applyFill="1" applyBorder="1" applyAlignment="1">
      <alignment horizontal="center" vertical="center"/>
    </xf>
    <xf numFmtId="0" fontId="4" fillId="10" borderId="11" xfId="0" applyFont="1" applyFill="1" applyBorder="1" applyAlignment="1">
      <alignment horizontal="center" vertical="center"/>
    </xf>
    <xf numFmtId="0" fontId="5" fillId="10" borderId="4" xfId="0" applyFont="1" applyFill="1" applyBorder="1" applyAlignment="1">
      <alignment horizontal="center"/>
    </xf>
    <xf numFmtId="0" fontId="5" fillId="7" borderId="24" xfId="0" applyFont="1" applyFill="1" applyBorder="1" applyAlignment="1">
      <alignment horizontal="center" vertical="center" wrapText="1"/>
    </xf>
    <xf numFmtId="0" fontId="5" fillId="7" borderId="25" xfId="0" applyFont="1" applyFill="1" applyBorder="1" applyAlignment="1">
      <alignment horizontal="center" vertical="center" wrapText="1"/>
    </xf>
    <xf numFmtId="0" fontId="5" fillId="7" borderId="27" xfId="0" applyFont="1" applyFill="1" applyBorder="1" applyAlignment="1">
      <alignment horizontal="center" vertical="center" wrapText="1"/>
    </xf>
    <xf numFmtId="0" fontId="5" fillId="7" borderId="28" xfId="0" applyFont="1" applyFill="1" applyBorder="1" applyAlignment="1">
      <alignment horizontal="center" vertical="center" wrapText="1"/>
    </xf>
    <xf numFmtId="0" fontId="6" fillId="7" borderId="47" xfId="0" applyFont="1" applyFill="1" applyBorder="1" applyAlignment="1">
      <alignment horizontal="center" vertical="center" wrapText="1"/>
    </xf>
    <xf numFmtId="0" fontId="6" fillId="7" borderId="49" xfId="0" applyFont="1" applyFill="1" applyBorder="1" applyAlignment="1">
      <alignment horizontal="center" vertical="center" wrapText="1"/>
    </xf>
    <xf numFmtId="0" fontId="6" fillId="7" borderId="29" xfId="0" applyFont="1" applyFill="1" applyBorder="1" applyAlignment="1">
      <alignment horizontal="center" vertical="center" wrapText="1"/>
    </xf>
    <xf numFmtId="0" fontId="5" fillId="6" borderId="20" xfId="0" applyFont="1" applyFill="1" applyBorder="1" applyAlignment="1">
      <alignment horizontal="center"/>
    </xf>
    <xf numFmtId="0" fontId="5" fillId="6" borderId="25" xfId="0" applyFont="1" applyFill="1" applyBorder="1" applyAlignment="1">
      <alignment horizontal="center"/>
    </xf>
    <xf numFmtId="0" fontId="17" fillId="6" borderId="1" xfId="0" applyFont="1" applyFill="1" applyBorder="1" applyAlignment="1">
      <alignment horizontal="center" vertical="center"/>
    </xf>
    <xf numFmtId="0" fontId="83" fillId="7" borderId="42" xfId="0" applyFont="1" applyFill="1" applyBorder="1" applyAlignment="1">
      <alignment horizontal="center" vertical="center" wrapText="1"/>
    </xf>
    <xf numFmtId="0" fontId="83" fillId="7" borderId="38" xfId="0" applyFont="1" applyFill="1" applyBorder="1" applyAlignment="1">
      <alignment horizontal="center" vertical="center" wrapText="1"/>
    </xf>
    <xf numFmtId="0" fontId="83" fillId="7" borderId="45" xfId="0" applyFont="1" applyFill="1" applyBorder="1" applyAlignment="1">
      <alignment horizontal="center" vertical="center" wrapText="1"/>
    </xf>
    <xf numFmtId="0" fontId="82" fillId="7" borderId="1" xfId="0" quotePrefix="1" applyFont="1" applyFill="1" applyBorder="1" applyAlignment="1">
      <alignment horizontal="center"/>
    </xf>
    <xf numFmtId="0" fontId="82" fillId="7" borderId="1" xfId="0" applyFont="1" applyFill="1" applyBorder="1" applyAlignment="1">
      <alignment horizontal="center"/>
    </xf>
    <xf numFmtId="0" fontId="35" fillId="10" borderId="0" xfId="0" applyFont="1" applyFill="1" applyAlignment="1">
      <alignment horizontal="center"/>
    </xf>
    <xf numFmtId="0" fontId="5" fillId="10" borderId="10" xfId="0" applyFont="1" applyFill="1" applyBorder="1" applyAlignment="1">
      <alignment horizontal="right"/>
    </xf>
    <xf numFmtId="0" fontId="38" fillId="10" borderId="9" xfId="0" applyFont="1" applyFill="1" applyBorder="1" applyAlignment="1">
      <alignment horizontal="right"/>
    </xf>
    <xf numFmtId="0" fontId="48" fillId="10" borderId="35" xfId="0" applyFont="1" applyFill="1" applyBorder="1" applyAlignment="1">
      <alignment horizontal="center" vertical="center"/>
    </xf>
    <xf numFmtId="0" fontId="17" fillId="6" borderId="1" xfId="0" applyFont="1" applyFill="1" applyBorder="1" applyAlignment="1">
      <alignment horizontal="center"/>
    </xf>
    <xf numFmtId="0" fontId="26" fillId="0" borderId="0" xfId="3" applyFont="1" applyFill="1" applyBorder="1" applyAlignment="1">
      <alignment horizontal="center" vertical="justify"/>
    </xf>
    <xf numFmtId="14" fontId="24" fillId="0" borderId="0" xfId="3" applyNumberFormat="1" applyFont="1" applyAlignment="1">
      <alignment horizontal="center"/>
    </xf>
    <xf numFmtId="0" fontId="28" fillId="0" borderId="0" xfId="3" applyFont="1" applyAlignment="1">
      <alignment horizontal="center" vertical="center" wrapText="1"/>
    </xf>
    <xf numFmtId="0" fontId="80" fillId="0" borderId="0" xfId="3" applyFont="1" applyAlignment="1">
      <alignment horizontal="center" vertical="center" wrapText="1"/>
    </xf>
    <xf numFmtId="0" fontId="80" fillId="0" borderId="0" xfId="3" applyFont="1" applyAlignment="1">
      <alignment horizontal="center"/>
    </xf>
    <xf numFmtId="14" fontId="80" fillId="0" borderId="0" xfId="3" applyNumberFormat="1" applyFont="1" applyAlignment="1">
      <alignment horizontal="center"/>
    </xf>
    <xf numFmtId="14" fontId="80" fillId="0" borderId="0" xfId="3" applyNumberFormat="1" applyFont="1" applyFill="1" applyAlignment="1">
      <alignment horizontal="center"/>
    </xf>
    <xf numFmtId="0" fontId="28" fillId="0" borderId="0" xfId="3" applyFont="1" applyAlignment="1">
      <alignment horizontal="center" vertical="center"/>
    </xf>
    <xf numFmtId="0" fontId="50" fillId="0" borderId="0" xfId="0" applyFont="1" applyAlignment="1" applyProtection="1">
      <alignment horizontal="center"/>
    </xf>
    <xf numFmtId="0" fontId="27" fillId="0" borderId="0" xfId="0" applyFont="1" applyAlignment="1">
      <alignment horizontal="left"/>
    </xf>
    <xf numFmtId="0" fontId="28" fillId="0" borderId="0" xfId="0" applyFont="1" applyAlignment="1">
      <alignment horizontal="left"/>
    </xf>
    <xf numFmtId="0" fontId="6" fillId="0" borderId="24" xfId="0" applyFont="1" applyFill="1" applyBorder="1" applyAlignment="1">
      <alignment horizontal="center"/>
    </xf>
    <xf numFmtId="0" fontId="6" fillId="0" borderId="25" xfId="0" applyFont="1" applyFill="1" applyBorder="1" applyAlignment="1">
      <alignment horizontal="center"/>
    </xf>
    <xf numFmtId="0" fontId="6" fillId="0" borderId="24" xfId="0" applyFont="1" applyFill="1" applyBorder="1" applyAlignment="1">
      <alignment horizontal="center" vertical="center"/>
    </xf>
    <xf numFmtId="0" fontId="6" fillId="0" borderId="23" xfId="0" applyFont="1" applyFill="1" applyBorder="1" applyAlignment="1">
      <alignment horizontal="center" vertical="center"/>
    </xf>
    <xf numFmtId="0" fontId="6" fillId="0" borderId="25" xfId="0" applyFont="1" applyFill="1" applyBorder="1" applyAlignment="1">
      <alignment horizontal="center" vertical="center"/>
    </xf>
    <xf numFmtId="0" fontId="5" fillId="0" borderId="65" xfId="0" applyNumberFormat="1" applyFont="1" applyFill="1" applyBorder="1" applyAlignment="1">
      <alignment horizontal="center"/>
    </xf>
    <xf numFmtId="0" fontId="5" fillId="0" borderId="36" xfId="0" applyNumberFormat="1" applyFont="1" applyFill="1" applyBorder="1" applyAlignment="1">
      <alignment horizontal="center"/>
    </xf>
    <xf numFmtId="0" fontId="5" fillId="0" borderId="67" xfId="0" applyNumberFormat="1" applyFont="1" applyFill="1" applyBorder="1" applyAlignment="1">
      <alignment horizontal="center"/>
    </xf>
    <xf numFmtId="0" fontId="6" fillId="0" borderId="56" xfId="0" applyFont="1" applyFill="1" applyBorder="1" applyAlignment="1">
      <alignment horizontal="center" vertical="center"/>
    </xf>
    <xf numFmtId="0" fontId="6" fillId="0" borderId="40" xfId="0" applyFont="1" applyFill="1" applyBorder="1" applyAlignment="1">
      <alignment horizontal="center" vertical="center"/>
    </xf>
    <xf numFmtId="0" fontId="6" fillId="0" borderId="57" xfId="0" applyFont="1" applyFill="1" applyBorder="1" applyAlignment="1">
      <alignment horizontal="center" vertical="center"/>
    </xf>
    <xf numFmtId="0" fontId="5" fillId="0" borderId="27"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5" fillId="0" borderId="28" xfId="0" applyFont="1" applyFill="1" applyBorder="1" applyAlignment="1">
      <alignment horizontal="center" vertical="center" wrapText="1"/>
    </xf>
    <xf numFmtId="0" fontId="6" fillId="5" borderId="32" xfId="0" applyFont="1" applyFill="1" applyBorder="1" applyAlignment="1"/>
    <xf numFmtId="0" fontId="6" fillId="5" borderId="4" xfId="0" applyFont="1" applyFill="1" applyBorder="1" applyAlignment="1"/>
    <xf numFmtId="0" fontId="6" fillId="5" borderId="5" xfId="0" applyFont="1" applyFill="1" applyBorder="1" applyAlignment="1"/>
    <xf numFmtId="0" fontId="5" fillId="5" borderId="1" xfId="0" applyFont="1" applyFill="1" applyBorder="1" applyAlignment="1">
      <alignment horizontal="left" vertical="center" wrapText="1"/>
    </xf>
    <xf numFmtId="0" fontId="5" fillId="5" borderId="2" xfId="0" applyFont="1" applyFill="1" applyBorder="1" applyAlignment="1">
      <alignment vertical="center" wrapText="1"/>
    </xf>
    <xf numFmtId="0" fontId="5" fillId="5" borderId="21" xfId="0" applyFont="1" applyFill="1" applyBorder="1" applyAlignment="1">
      <alignment vertical="center" wrapText="1"/>
    </xf>
    <xf numFmtId="0" fontId="5" fillId="5" borderId="3" xfId="0" applyFont="1" applyFill="1" applyBorder="1" applyAlignment="1">
      <alignment vertical="center" wrapText="1"/>
    </xf>
    <xf numFmtId="0" fontId="5" fillId="5" borderId="37" xfId="0" applyFont="1" applyFill="1" applyBorder="1" applyAlignment="1"/>
    <xf numFmtId="0" fontId="5" fillId="5" borderId="36" xfId="0" applyFont="1" applyFill="1" applyBorder="1" applyAlignment="1"/>
    <xf numFmtId="0" fontId="5" fillId="5" borderId="66" xfId="0" applyFont="1" applyFill="1" applyBorder="1" applyAlignment="1"/>
    <xf numFmtId="0" fontId="5" fillId="5" borderId="1" xfId="0" applyFont="1" applyFill="1" applyBorder="1" applyAlignment="1"/>
    <xf numFmtId="0" fontId="5" fillId="0" borderId="32" xfId="0" applyFont="1" applyFill="1" applyBorder="1" applyAlignment="1">
      <alignment horizontal="center" vertical="center"/>
    </xf>
    <xf numFmtId="0" fontId="38" fillId="0" borderId="5" xfId="0" applyFont="1" applyBorder="1" applyAlignment="1">
      <alignment horizontal="center" vertical="center"/>
    </xf>
    <xf numFmtId="0" fontId="5" fillId="0" borderId="2" xfId="0" applyFont="1" applyFill="1" applyBorder="1" applyAlignment="1"/>
    <xf numFmtId="0" fontId="0" fillId="0" borderId="3" xfId="0" applyBorder="1" applyAlignment="1"/>
    <xf numFmtId="0" fontId="6" fillId="2" borderId="0" xfId="0" applyFont="1" applyFill="1" applyAlignment="1">
      <alignment horizontal="center"/>
    </xf>
    <xf numFmtId="0" fontId="65" fillId="2" borderId="0" xfId="0" applyFont="1" applyFill="1" applyAlignment="1">
      <alignment horizontal="center" vertical="top"/>
    </xf>
    <xf numFmtId="0" fontId="5" fillId="5" borderId="2" xfId="0" applyFont="1" applyFill="1" applyBorder="1" applyAlignment="1">
      <alignment wrapText="1"/>
    </xf>
    <xf numFmtId="0" fontId="5" fillId="5" borderId="21" xfId="0" applyFont="1" applyFill="1" applyBorder="1" applyAlignment="1">
      <alignment wrapText="1"/>
    </xf>
    <xf numFmtId="0" fontId="5" fillId="5" borderId="3" xfId="0" applyFont="1" applyFill="1" applyBorder="1" applyAlignment="1">
      <alignment wrapText="1"/>
    </xf>
    <xf numFmtId="0" fontId="6" fillId="0" borderId="33" xfId="0" applyFont="1" applyFill="1" applyBorder="1" applyAlignment="1">
      <alignment horizontal="center"/>
    </xf>
    <xf numFmtId="0" fontId="6" fillId="0" borderId="12" xfId="0" applyFont="1" applyFill="1" applyBorder="1" applyAlignment="1">
      <alignment horizontal="center"/>
    </xf>
    <xf numFmtId="0" fontId="5" fillId="6" borderId="37" xfId="0" applyFont="1" applyFill="1" applyBorder="1" applyAlignment="1"/>
    <xf numFmtId="0" fontId="5" fillId="6" borderId="36" xfId="0" applyFont="1" applyFill="1" applyBorder="1" applyAlignment="1"/>
    <xf numFmtId="0" fontId="5" fillId="6" borderId="66" xfId="0" applyFont="1" applyFill="1" applyBorder="1" applyAlignment="1"/>
    <xf numFmtId="0" fontId="48" fillId="2" borderId="0" xfId="0" applyFont="1" applyFill="1" applyBorder="1" applyAlignment="1">
      <alignment horizontal="center"/>
    </xf>
    <xf numFmtId="0" fontId="5" fillId="0" borderId="21" xfId="0" applyFont="1" applyFill="1" applyBorder="1" applyAlignment="1"/>
    <xf numFmtId="0" fontId="5" fillId="0" borderId="3" xfId="0" applyFont="1" applyFill="1" applyBorder="1" applyAlignment="1"/>
    <xf numFmtId="0" fontId="5" fillId="6" borderId="2" xfId="0" applyFont="1" applyFill="1" applyBorder="1" applyAlignment="1"/>
    <xf numFmtId="0" fontId="5" fillId="6" borderId="21" xfId="0" applyFont="1" applyFill="1" applyBorder="1" applyAlignment="1"/>
    <xf numFmtId="0" fontId="5" fillId="6" borderId="3" xfId="0" applyFont="1" applyFill="1" applyBorder="1" applyAlignment="1"/>
    <xf numFmtId="0" fontId="6" fillId="2" borderId="2" xfId="0" applyFont="1" applyFill="1" applyBorder="1" applyAlignment="1"/>
    <xf numFmtId="0" fontId="6" fillId="2" borderId="21" xfId="0" applyFont="1" applyFill="1" applyBorder="1" applyAlignment="1"/>
    <xf numFmtId="0" fontId="6" fillId="2" borderId="3" xfId="0" applyFont="1" applyFill="1" applyBorder="1" applyAlignment="1"/>
    <xf numFmtId="0" fontId="6" fillId="0" borderId="0" xfId="0" applyFont="1" applyFill="1" applyBorder="1" applyAlignment="1">
      <alignment horizontal="left"/>
    </xf>
    <xf numFmtId="0" fontId="5" fillId="0" borderId="27" xfId="0" applyFont="1" applyFill="1" applyBorder="1" applyAlignment="1">
      <alignment horizontal="center" vertical="center"/>
    </xf>
    <xf numFmtId="0" fontId="38" fillId="0" borderId="28" xfId="0" applyFont="1" applyBorder="1" applyAlignment="1">
      <alignment horizontal="center" vertical="center"/>
    </xf>
    <xf numFmtId="0" fontId="5" fillId="0" borderId="37" xfId="0" applyFont="1" applyFill="1" applyBorder="1" applyAlignment="1"/>
    <xf numFmtId="0" fontId="5" fillId="0" borderId="36" xfId="0" applyFont="1" applyFill="1" applyBorder="1" applyAlignment="1"/>
    <xf numFmtId="0" fontId="5" fillId="0" borderId="66" xfId="0" applyFont="1" applyFill="1" applyBorder="1" applyAlignment="1"/>
    <xf numFmtId="0" fontId="6" fillId="2" borderId="32" xfId="0" applyFont="1" applyFill="1" applyBorder="1" applyAlignment="1"/>
    <xf numFmtId="0" fontId="6" fillId="2" borderId="4" xfId="0" applyFont="1" applyFill="1" applyBorder="1" applyAlignment="1"/>
    <xf numFmtId="0" fontId="6" fillId="2" borderId="5" xfId="0" applyFont="1" applyFill="1" applyBorder="1" applyAlignment="1"/>
    <xf numFmtId="0" fontId="20" fillId="0" borderId="18" xfId="0" applyFont="1" applyFill="1" applyBorder="1" applyAlignment="1">
      <alignment horizontal="left"/>
    </xf>
    <xf numFmtId="0" fontId="10" fillId="0" borderId="0" xfId="0" applyFont="1" applyFill="1" applyBorder="1" applyAlignment="1">
      <alignment horizontal="left"/>
    </xf>
    <xf numFmtId="0" fontId="36" fillId="0" borderId="0" xfId="0" applyFont="1" applyFill="1" applyBorder="1" applyAlignment="1">
      <alignment horizontal="left"/>
    </xf>
    <xf numFmtId="0" fontId="10" fillId="0" borderId="1" xfId="0" applyFont="1" applyFill="1" applyBorder="1" applyAlignment="1">
      <alignment horizontal="center" vertical="center" wrapText="1"/>
    </xf>
    <xf numFmtId="0" fontId="10" fillId="0" borderId="56" xfId="0" applyFont="1" applyFill="1" applyBorder="1" applyAlignment="1">
      <alignment horizontal="center" vertical="center"/>
    </xf>
    <xf numFmtId="0" fontId="10" fillId="0" borderId="57" xfId="0" applyFont="1" applyFill="1" applyBorder="1" applyAlignment="1">
      <alignment horizontal="center" vertical="center"/>
    </xf>
    <xf numFmtId="0" fontId="48" fillId="0" borderId="0" xfId="0" applyFont="1" applyFill="1" applyBorder="1" applyAlignment="1">
      <alignment horizontal="center"/>
    </xf>
    <xf numFmtId="0" fontId="20" fillId="0" borderId="0" xfId="0" applyFont="1" applyFill="1" applyBorder="1" applyAlignment="1">
      <alignment horizontal="left"/>
    </xf>
    <xf numFmtId="0" fontId="2" fillId="0" borderId="0" xfId="0" applyFont="1" applyFill="1" applyBorder="1" applyAlignment="1">
      <alignment horizontal="left"/>
    </xf>
    <xf numFmtId="0" fontId="4" fillId="0" borderId="42" xfId="0" applyFont="1" applyFill="1" applyBorder="1" applyAlignment="1">
      <alignment horizontal="center"/>
    </xf>
    <xf numFmtId="0" fontId="4" fillId="0" borderId="45" xfId="0" applyFont="1" applyFill="1" applyBorder="1" applyAlignment="1">
      <alignment horizontal="center"/>
    </xf>
    <xf numFmtId="0" fontId="65" fillId="0" borderId="0" xfId="0" applyFont="1" applyFill="1" applyAlignment="1">
      <alignment horizontal="center"/>
    </xf>
    <xf numFmtId="0" fontId="10" fillId="0" borderId="42" xfId="0" applyFont="1" applyFill="1" applyBorder="1" applyAlignment="1">
      <alignment horizontal="center" vertical="center" wrapText="1"/>
    </xf>
    <xf numFmtId="0" fontId="10" fillId="0" borderId="45" xfId="0" applyFont="1" applyFill="1" applyBorder="1" applyAlignment="1">
      <alignment horizontal="center" vertical="center" wrapText="1"/>
    </xf>
    <xf numFmtId="0" fontId="10" fillId="0" borderId="56" xfId="0" applyFont="1" applyFill="1" applyBorder="1" applyAlignment="1">
      <alignment horizontal="center"/>
    </xf>
    <xf numFmtId="0" fontId="10" fillId="0" borderId="57" xfId="0" applyFont="1" applyFill="1" applyBorder="1" applyAlignment="1">
      <alignment horizontal="center"/>
    </xf>
    <xf numFmtId="0" fontId="10" fillId="0" borderId="65" xfId="0" applyFont="1" applyFill="1" applyBorder="1" applyAlignment="1">
      <alignment horizontal="center"/>
    </xf>
    <xf numFmtId="0" fontId="10" fillId="0" borderId="67" xfId="0" applyFont="1" applyFill="1" applyBorder="1" applyAlignment="1">
      <alignment horizontal="center"/>
    </xf>
    <xf numFmtId="0" fontId="6" fillId="0" borderId="24" xfId="0" applyFont="1" applyFill="1" applyBorder="1" applyAlignment="1">
      <alignment horizontal="center" wrapText="1"/>
    </xf>
    <xf numFmtId="0" fontId="0" fillId="0" borderId="23" xfId="0" applyBorder="1" applyAlignment="1">
      <alignment horizontal="center"/>
    </xf>
    <xf numFmtId="0" fontId="0" fillId="0" borderId="2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15" xfId="0" applyBorder="1" applyAlignment="1">
      <alignment horizontal="center"/>
    </xf>
    <xf numFmtId="0" fontId="0" fillId="0" borderId="28" xfId="0" applyBorder="1" applyAlignment="1">
      <alignment horizontal="center"/>
    </xf>
    <xf numFmtId="0" fontId="5" fillId="0" borderId="0" xfId="0" applyFont="1" applyFill="1" applyBorder="1" applyAlignment="1">
      <alignment horizontal="center"/>
    </xf>
    <xf numFmtId="0" fontId="5" fillId="0" borderId="26" xfId="0" applyFont="1" applyFill="1" applyBorder="1" applyAlignment="1">
      <alignment horizontal="center"/>
    </xf>
    <xf numFmtId="0" fontId="5" fillId="0" borderId="24" xfId="0" applyFont="1" applyFill="1" applyBorder="1" applyAlignment="1">
      <alignment horizontal="center"/>
    </xf>
    <xf numFmtId="0" fontId="5" fillId="0" borderId="23" xfId="0" applyFont="1" applyFill="1" applyBorder="1" applyAlignment="1">
      <alignment horizontal="center"/>
    </xf>
    <xf numFmtId="0" fontId="5" fillId="0" borderId="25" xfId="0" applyFont="1" applyFill="1" applyBorder="1" applyAlignment="1">
      <alignment horizontal="center"/>
    </xf>
    <xf numFmtId="0" fontId="1" fillId="0" borderId="0" xfId="3" applyAlignment="1">
      <alignment horizontal="left" vertical="center" wrapText="1"/>
    </xf>
    <xf numFmtId="0" fontId="5" fillId="0" borderId="4" xfId="0" applyFont="1" applyFill="1" applyBorder="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5" fillId="0" borderId="0" xfId="0" applyFont="1" applyFill="1" applyBorder="1" applyAlignment="1">
      <alignment horizontal="center" vertical="center"/>
    </xf>
    <xf numFmtId="0" fontId="5" fillId="0" borderId="1" xfId="3" applyFont="1" applyFill="1" applyBorder="1" applyAlignment="1">
      <alignment horizontal="center" vertical="center"/>
    </xf>
    <xf numFmtId="0" fontId="1" fillId="0" borderId="0" xfId="3" applyAlignment="1">
      <alignment horizontal="left" wrapText="1"/>
    </xf>
    <xf numFmtId="0" fontId="5" fillId="0" borderId="1" xfId="0" applyFont="1" applyFill="1" applyBorder="1" applyAlignment="1">
      <alignment horizontal="center"/>
    </xf>
    <xf numFmtId="0" fontId="5" fillId="0" borderId="2" xfId="0" applyFont="1" applyFill="1" applyBorder="1" applyAlignment="1">
      <alignment horizontal="center"/>
    </xf>
    <xf numFmtId="0" fontId="10" fillId="0" borderId="0" xfId="0" applyFont="1" applyFill="1" applyBorder="1" applyAlignment="1">
      <alignment horizontal="left" vertical="center" wrapText="1"/>
    </xf>
    <xf numFmtId="0" fontId="5" fillId="0" borderId="4" xfId="0" applyFont="1" applyFill="1" applyBorder="1" applyAlignment="1">
      <alignment horizontal="center" wrapText="1"/>
    </xf>
    <xf numFmtId="0" fontId="5" fillId="0" borderId="0" xfId="0" applyFont="1" applyFill="1" applyBorder="1" applyAlignment="1">
      <alignment horizontal="center" wrapText="1"/>
    </xf>
    <xf numFmtId="0" fontId="48" fillId="0" borderId="0" xfId="0" applyFont="1" applyFill="1" applyAlignment="1">
      <alignment horizontal="center"/>
    </xf>
    <xf numFmtId="0" fontId="5" fillId="0" borderId="7" xfId="0" applyFont="1" applyFill="1" applyBorder="1" applyAlignment="1">
      <alignment horizontal="center" wrapText="1"/>
    </xf>
    <xf numFmtId="165" fontId="5" fillId="0" borderId="1" xfId="0" applyNumberFormat="1" applyFont="1" applyFill="1" applyBorder="1" applyAlignment="1">
      <alignment horizontal="left" vertical="center"/>
    </xf>
    <xf numFmtId="0" fontId="6" fillId="0" borderId="0" xfId="0" applyFont="1" applyFill="1" applyBorder="1" applyAlignment="1">
      <alignment horizontal="center"/>
    </xf>
    <xf numFmtId="0" fontId="1" fillId="0" borderId="54" xfId="3" applyBorder="1" applyAlignment="1">
      <alignment horizontal="center"/>
    </xf>
    <xf numFmtId="0" fontId="1" fillId="0" borderId="55" xfId="3" applyBorder="1" applyAlignment="1">
      <alignment horizontal="center"/>
    </xf>
    <xf numFmtId="0" fontId="17" fillId="0" borderId="1" xfId="0" applyFont="1" applyBorder="1" applyAlignment="1">
      <alignment horizontal="center"/>
    </xf>
    <xf numFmtId="0" fontId="35" fillId="0" borderId="56" xfId="3" applyFont="1" applyFill="1" applyBorder="1" applyAlignment="1">
      <alignment horizontal="center"/>
    </xf>
    <xf numFmtId="0" fontId="35" fillId="0" borderId="57" xfId="3" applyFont="1" applyFill="1" applyBorder="1" applyAlignment="1">
      <alignment horizontal="center"/>
    </xf>
    <xf numFmtId="0" fontId="37" fillId="0" borderId="50" xfId="3" applyFont="1" applyBorder="1" applyAlignment="1">
      <alignment horizontal="center"/>
    </xf>
    <xf numFmtId="0" fontId="37" fillId="0" borderId="51" xfId="3" applyFont="1" applyBorder="1" applyAlignment="1">
      <alignment horizontal="center"/>
    </xf>
    <xf numFmtId="1" fontId="5" fillId="0" borderId="4" xfId="3" applyNumberFormat="1" applyFont="1" applyFill="1" applyBorder="1" applyAlignment="1">
      <alignment horizontal="center" vertical="center"/>
    </xf>
    <xf numFmtId="1" fontId="5" fillId="0" borderId="0" xfId="3" applyNumberFormat="1" applyFont="1" applyFill="1" applyBorder="1" applyAlignment="1">
      <alignment horizontal="left"/>
    </xf>
    <xf numFmtId="0" fontId="37" fillId="0" borderId="33" xfId="3" applyFont="1" applyBorder="1" applyAlignment="1">
      <alignment horizontal="center" vertical="center" wrapText="1"/>
    </xf>
    <xf numFmtId="0" fontId="37" fillId="0" borderId="12" xfId="3" applyFont="1" applyBorder="1" applyAlignment="1">
      <alignment horizontal="center" vertical="center" wrapText="1"/>
    </xf>
    <xf numFmtId="0" fontId="37" fillId="0" borderId="7" xfId="3" applyFont="1" applyBorder="1" applyAlignment="1">
      <alignment horizontal="center" vertical="center" wrapText="1"/>
    </xf>
    <xf numFmtId="0" fontId="37" fillId="0" borderId="22" xfId="3" applyFont="1" applyBorder="1" applyAlignment="1">
      <alignment horizontal="center" vertical="center" wrapText="1"/>
    </xf>
    <xf numFmtId="0" fontId="17" fillId="0" borderId="2" xfId="0" applyFont="1" applyBorder="1" applyAlignment="1">
      <alignment horizontal="center"/>
    </xf>
    <xf numFmtId="0" fontId="17" fillId="0" borderId="3" xfId="0" applyFont="1" applyBorder="1" applyAlignment="1">
      <alignment horizontal="center"/>
    </xf>
    <xf numFmtId="0" fontId="48" fillId="0" borderId="33" xfId="0" applyFont="1" applyBorder="1" applyAlignment="1">
      <alignment horizontal="center" vertical="center"/>
    </xf>
    <xf numFmtId="0" fontId="48" fillId="0" borderId="18" xfId="0" applyFont="1" applyBorder="1" applyAlignment="1">
      <alignment horizontal="center" vertical="center"/>
    </xf>
    <xf numFmtId="0" fontId="48" fillId="0" borderId="12" xfId="0" applyFont="1" applyBorder="1" applyAlignment="1">
      <alignment horizontal="center" vertical="center"/>
    </xf>
    <xf numFmtId="0" fontId="17" fillId="0" borderId="32"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1" fontId="5" fillId="0" borderId="0" xfId="3" applyNumberFormat="1" applyFont="1" applyFill="1" applyBorder="1" applyAlignment="1">
      <alignment horizontal="center" vertical="center"/>
    </xf>
    <xf numFmtId="0" fontId="48" fillId="5" borderId="5" xfId="3" applyFont="1" applyFill="1" applyBorder="1" applyAlignment="1">
      <alignment horizontal="center"/>
    </xf>
    <xf numFmtId="0" fontId="48" fillId="5" borderId="32" xfId="3" applyFont="1" applyFill="1" applyBorder="1" applyAlignment="1">
      <alignment horizontal="center"/>
    </xf>
    <xf numFmtId="0" fontId="35" fillId="0" borderId="0" xfId="3" applyFont="1" applyFill="1" applyBorder="1" applyAlignment="1">
      <alignment horizontal="center"/>
    </xf>
    <xf numFmtId="0" fontId="17" fillId="0" borderId="4" xfId="0" applyFont="1" applyBorder="1" applyAlignment="1">
      <alignment horizontal="center"/>
    </xf>
    <xf numFmtId="0" fontId="17" fillId="0" borderId="5" xfId="0" applyFont="1" applyBorder="1" applyAlignment="1">
      <alignment horizontal="center"/>
    </xf>
    <xf numFmtId="0" fontId="17" fillId="0" borderId="7" xfId="0" applyFont="1" applyBorder="1" applyAlignment="1">
      <alignment horizontal="center"/>
    </xf>
    <xf numFmtId="0" fontId="17" fillId="0" borderId="0" xfId="0" applyFont="1" applyBorder="1" applyAlignment="1">
      <alignment horizontal="center"/>
    </xf>
    <xf numFmtId="1" fontId="5" fillId="0" borderId="0" xfId="3" applyNumberFormat="1" applyFont="1" applyFill="1" applyBorder="1" applyAlignment="1">
      <alignment horizontal="center" vertical="center" wrapText="1"/>
    </xf>
    <xf numFmtId="1" fontId="5" fillId="5" borderId="47" xfId="3" applyNumberFormat="1" applyFont="1" applyFill="1" applyBorder="1" applyAlignment="1">
      <alignment horizontal="center" vertical="center"/>
    </xf>
    <xf numFmtId="1" fontId="5" fillId="5" borderId="29" xfId="3" applyNumberFormat="1" applyFont="1" applyFill="1" applyBorder="1" applyAlignment="1">
      <alignment horizontal="center" vertical="center"/>
    </xf>
    <xf numFmtId="165" fontId="7" fillId="0" borderId="32" xfId="3" applyNumberFormat="1" applyFont="1" applyFill="1" applyBorder="1" applyAlignment="1">
      <alignment horizontal="center"/>
    </xf>
    <xf numFmtId="165" fontId="7" fillId="0" borderId="5" xfId="3" applyNumberFormat="1" applyFont="1" applyFill="1" applyBorder="1" applyAlignment="1">
      <alignment horizontal="center"/>
    </xf>
    <xf numFmtId="0" fontId="49" fillId="0" borderId="0" xfId="0" applyFont="1" applyFill="1" applyBorder="1" applyAlignment="1">
      <alignment horizontal="center"/>
    </xf>
    <xf numFmtId="0" fontId="56" fillId="0" borderId="0" xfId="0" applyNumberFormat="1" applyFont="1" applyFill="1" applyBorder="1" applyAlignment="1">
      <alignment horizontal="center" vertical="center" wrapText="1"/>
    </xf>
    <xf numFmtId="0" fontId="56" fillId="0" borderId="0" xfId="0" applyFont="1" applyFill="1" applyBorder="1" applyAlignment="1">
      <alignment horizontal="center" vertical="center" wrapText="1"/>
    </xf>
    <xf numFmtId="0" fontId="20" fillId="0" borderId="15" xfId="0" applyFont="1" applyFill="1" applyBorder="1" applyAlignment="1">
      <alignment horizontal="left"/>
    </xf>
    <xf numFmtId="0" fontId="10" fillId="0" borderId="15" xfId="0" applyFont="1" applyFill="1" applyBorder="1" applyAlignment="1">
      <alignment horizontal="left"/>
    </xf>
    <xf numFmtId="0" fontId="10" fillId="0" borderId="9" xfId="0" applyFont="1" applyFill="1" applyBorder="1" applyAlignment="1">
      <alignment horizontal="left"/>
    </xf>
    <xf numFmtId="0" fontId="1" fillId="0" borderId="9" xfId="0" applyFont="1" applyFill="1" applyBorder="1" applyAlignment="1">
      <alignment horizontal="left"/>
    </xf>
    <xf numFmtId="2" fontId="5" fillId="0" borderId="34" xfId="1" applyNumberFormat="1" applyFont="1" applyFill="1" applyBorder="1" applyAlignment="1">
      <alignment horizontal="center" vertical="center"/>
    </xf>
    <xf numFmtId="2" fontId="5" fillId="0" borderId="8" xfId="1" applyNumberFormat="1" applyFont="1" applyFill="1" applyBorder="1" applyAlignment="1">
      <alignment horizontal="center" vertical="center"/>
    </xf>
    <xf numFmtId="10" fontId="5" fillId="0" borderId="34" xfId="1" applyNumberFormat="1" applyFont="1" applyFill="1" applyBorder="1" applyAlignment="1">
      <alignment horizontal="center" vertical="center"/>
    </xf>
    <xf numFmtId="10" fontId="5" fillId="0" borderId="8" xfId="1" applyNumberFormat="1" applyFont="1" applyFill="1" applyBorder="1" applyAlignment="1">
      <alignment horizontal="center" vertical="center"/>
    </xf>
    <xf numFmtId="0" fontId="5" fillId="0" borderId="34" xfId="0" applyFont="1" applyFill="1" applyBorder="1" applyAlignment="1">
      <alignment horizontal="center" vertical="center"/>
    </xf>
    <xf numFmtId="0" fontId="5" fillId="0" borderId="8" xfId="0" applyFont="1" applyFill="1" applyBorder="1" applyAlignment="1">
      <alignment horizontal="center" vertical="center"/>
    </xf>
    <xf numFmtId="0" fontId="6" fillId="0" borderId="14" xfId="0" applyFont="1" applyFill="1" applyBorder="1" applyAlignment="1">
      <alignment horizontal="left"/>
    </xf>
    <xf numFmtId="0" fontId="5" fillId="0" borderId="14" xfId="0" applyFont="1" applyFill="1" applyBorder="1" applyAlignment="1">
      <alignment horizontal="left"/>
    </xf>
    <xf numFmtId="0" fontId="5" fillId="0" borderId="46" xfId="0" applyFont="1" applyFill="1" applyBorder="1" applyAlignment="1">
      <alignment horizontal="left"/>
    </xf>
    <xf numFmtId="0" fontId="6" fillId="0" borderId="22" xfId="0" applyFont="1" applyFill="1" applyBorder="1" applyAlignment="1">
      <alignment horizontal="left"/>
    </xf>
    <xf numFmtId="0" fontId="69" fillId="0" borderId="15" xfId="0" applyFont="1" applyFill="1" applyBorder="1" applyAlignment="1">
      <alignment horizontal="left"/>
    </xf>
    <xf numFmtId="0" fontId="77" fillId="0" borderId="15" xfId="0" applyFont="1" applyFill="1" applyBorder="1" applyAlignment="1">
      <alignment horizontal="left"/>
    </xf>
    <xf numFmtId="0" fontId="77" fillId="0" borderId="9" xfId="0" applyFont="1" applyFill="1" applyBorder="1" applyAlignment="1">
      <alignment horizontal="left"/>
    </xf>
    <xf numFmtId="0" fontId="5" fillId="0" borderId="34"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6" fillId="0" borderId="36" xfId="0" applyFont="1" applyFill="1" applyBorder="1" applyAlignment="1">
      <alignment horizontal="center"/>
    </xf>
    <xf numFmtId="0" fontId="6" fillId="0" borderId="66" xfId="0" applyFont="1" applyFill="1" applyBorder="1" applyAlignment="1">
      <alignment horizontal="center"/>
    </xf>
    <xf numFmtId="0" fontId="10" fillId="0" borderId="32" xfId="0" applyFont="1" applyFill="1" applyBorder="1" applyAlignment="1">
      <alignment horizontal="left"/>
    </xf>
    <xf numFmtId="0" fontId="10" fillId="0" borderId="4" xfId="0" applyFont="1" applyFill="1" applyBorder="1" applyAlignment="1">
      <alignment horizontal="left"/>
    </xf>
    <xf numFmtId="0" fontId="6" fillId="0" borderId="61" xfId="0" applyFont="1" applyFill="1" applyBorder="1" applyAlignment="1">
      <alignment horizontal="left" wrapText="1"/>
    </xf>
    <xf numFmtId="0" fontId="6" fillId="0" borderId="44" xfId="0" applyFont="1" applyFill="1" applyBorder="1" applyAlignment="1">
      <alignment horizontal="left" wrapText="1"/>
    </xf>
    <xf numFmtId="0" fontId="57" fillId="0" borderId="0" xfId="0" applyFont="1" applyFill="1" applyBorder="1" applyAlignment="1">
      <alignment horizontal="center"/>
    </xf>
    <xf numFmtId="0" fontId="20" fillId="0" borderId="17"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20" fillId="0" borderId="27" xfId="0" applyFont="1" applyFill="1" applyBorder="1" applyAlignment="1">
      <alignment horizontal="left" vertical="center" wrapText="1"/>
    </xf>
    <xf numFmtId="0" fontId="20" fillId="0" borderId="15" xfId="0" applyFont="1" applyFill="1" applyBorder="1" applyAlignment="1">
      <alignment horizontal="left" vertical="center" wrapText="1"/>
    </xf>
    <xf numFmtId="0" fontId="20" fillId="0" borderId="0" xfId="0" applyFont="1" applyFill="1" applyBorder="1" applyAlignment="1">
      <alignment vertical="center" wrapText="1"/>
    </xf>
    <xf numFmtId="0" fontId="1" fillId="0" borderId="0" xfId="0" applyFont="1" applyBorder="1" applyAlignment="1">
      <alignment vertical="center" wrapText="1"/>
    </xf>
    <xf numFmtId="0" fontId="1" fillId="0" borderId="15" xfId="0" applyFont="1" applyBorder="1" applyAlignment="1">
      <alignment vertical="center" wrapText="1"/>
    </xf>
    <xf numFmtId="0" fontId="6" fillId="0" borderId="24" xfId="0" applyFont="1" applyFill="1" applyBorder="1" applyAlignment="1">
      <alignment horizontal="left"/>
    </xf>
    <xf numFmtId="0" fontId="6" fillId="0" borderId="23" xfId="0" applyFont="1" applyFill="1" applyBorder="1" applyAlignment="1">
      <alignment horizontal="left"/>
    </xf>
    <xf numFmtId="0" fontId="6" fillId="0" borderId="46" xfId="0" applyFont="1" applyFill="1" applyBorder="1" applyAlignment="1">
      <alignment horizontal="left"/>
    </xf>
    <xf numFmtId="0" fontId="6" fillId="0" borderId="15" xfId="0" applyFont="1" applyFill="1" applyBorder="1" applyAlignment="1">
      <alignment horizontal="left"/>
    </xf>
    <xf numFmtId="0" fontId="5" fillId="0" borderId="15" xfId="0" applyFont="1" applyFill="1" applyBorder="1" applyAlignment="1">
      <alignment horizontal="left"/>
    </xf>
    <xf numFmtId="0" fontId="5" fillId="0" borderId="9" xfId="0" applyFont="1" applyFill="1" applyBorder="1" applyAlignment="1">
      <alignment horizontal="left"/>
    </xf>
    <xf numFmtId="0" fontId="0" fillId="0" borderId="0" xfId="0" applyAlignment="1">
      <alignment horizontal="center"/>
    </xf>
    <xf numFmtId="0" fontId="52" fillId="0" borderId="47" xfId="0" applyFont="1" applyBorder="1" applyAlignment="1">
      <alignment horizontal="center" wrapText="1"/>
    </xf>
    <xf numFmtId="0" fontId="52" fillId="0" borderId="29" xfId="0" applyFont="1" applyBorder="1" applyAlignment="1">
      <alignment horizontal="center" wrapText="1"/>
    </xf>
    <xf numFmtId="165" fontId="5" fillId="0" borderId="3" xfId="0" applyNumberFormat="1" applyFont="1" applyFill="1" applyBorder="1" applyAlignment="1">
      <alignment horizontal="center"/>
    </xf>
  </cellXfs>
  <cellStyles count="4">
    <cellStyle name="Normal" xfId="0" builtinId="0"/>
    <cellStyle name="Normal 2" xfId="3"/>
    <cellStyle name="Porcentagem" xfId="1" builtinId="5"/>
    <cellStyle name="Vírgula" xfId="2" builtinId="3"/>
  </cellStyles>
  <dxfs count="9">
    <dxf>
      <fill>
        <patternFill>
          <bgColor theme="8" tint="-0.499984740745262"/>
        </patternFill>
      </fill>
    </dxf>
    <dxf>
      <fill>
        <patternFill>
          <bgColor theme="8" tint="-0.499984740745262"/>
        </patternFill>
      </fill>
    </dxf>
    <dxf>
      <fill>
        <patternFill>
          <bgColor rgb="FFFF0000"/>
        </patternFill>
      </fill>
    </dxf>
    <dxf>
      <fill>
        <patternFill>
          <bgColor rgb="FFFF0000"/>
        </patternFill>
      </fill>
    </dxf>
    <dxf>
      <fill>
        <patternFill>
          <bgColor theme="8" tint="-0.499984740745262"/>
        </patternFill>
      </fill>
    </dxf>
    <dxf>
      <fill>
        <patternFill>
          <bgColor rgb="FFFF0000"/>
        </patternFill>
      </fill>
    </dxf>
    <dxf>
      <fill>
        <patternFill>
          <bgColor theme="8" tint="-0.499984740745262"/>
        </patternFill>
      </fill>
    </dxf>
    <dxf>
      <fill>
        <patternFill>
          <bgColor theme="8" tint="-0.499984740745262"/>
        </patternFill>
      </fill>
    </dxf>
    <dxf>
      <fill>
        <patternFill>
          <bgColor theme="8" tint="-0.49998474074526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39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3333CC"/>
      <rgbColor rgb="00993366"/>
      <rgbColor rgb="00FFFFCC"/>
      <rgbColor rgb="00CCFFFF"/>
      <rgbColor rgb="00660066"/>
      <rgbColor rgb="00FF8080"/>
      <rgbColor rgb="003333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FF"/>
      <color rgb="FFFFFFCC"/>
      <color rgb="FFCCCC00"/>
      <color rgb="FFEBF6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5" b="1" i="0" u="none" strike="noStrike" baseline="0">
                <a:solidFill>
                  <a:srgbClr val="333333"/>
                </a:solidFill>
                <a:latin typeface="Arial"/>
                <a:ea typeface="Arial"/>
                <a:cs typeface="Arial"/>
              </a:defRPr>
            </a:pPr>
            <a:r>
              <a:rPr lang="pt-BR"/>
              <a:t>Reprodutibilidade de kVp</a:t>
            </a:r>
          </a:p>
        </c:rich>
      </c:tx>
      <c:overlay val="0"/>
      <c:spPr>
        <a:noFill/>
        <a:ln w="25400">
          <a:noFill/>
        </a:ln>
      </c:spPr>
    </c:title>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0"/>
        </c:ser>
        <c:dLbls>
          <c:showLegendKey val="0"/>
          <c:showVal val="0"/>
          <c:showCatName val="0"/>
          <c:showSerName val="0"/>
          <c:showPercent val="0"/>
          <c:showBubbleSize val="0"/>
        </c:dLbls>
        <c:axId val="135665536"/>
        <c:axId val="135668096"/>
      </c:scatterChart>
      <c:valAx>
        <c:axId val="135665536"/>
        <c:scaling>
          <c:orientation val="minMax"/>
          <c:max val="8"/>
          <c:min val="1"/>
        </c:scaling>
        <c:delete val="0"/>
        <c:axPos val="b"/>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Leitura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668096"/>
        <c:crosses val="autoZero"/>
        <c:crossBetween val="midCat"/>
      </c:valAx>
      <c:valAx>
        <c:axId val="135668096"/>
        <c:scaling>
          <c:orientation val="minMax"/>
        </c:scaling>
        <c:delete val="0"/>
        <c:axPos val="l"/>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665536"/>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paperSize="9" orientation="landscape" horizontalDpi="360" verticalDpi="36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5" b="1" i="0" u="none" strike="noStrike" baseline="0">
                <a:solidFill>
                  <a:srgbClr val="333333"/>
                </a:solidFill>
                <a:latin typeface="Arial"/>
                <a:ea typeface="Arial"/>
                <a:cs typeface="Arial"/>
              </a:defRPr>
            </a:pPr>
            <a:r>
              <a:rPr lang="pt-BR"/>
              <a:t>Reprodutibilidade de tempo</a:t>
            </a:r>
          </a:p>
        </c:rich>
      </c:tx>
      <c:overlay val="0"/>
      <c:spPr>
        <a:noFill/>
        <a:ln w="25400">
          <a:noFill/>
        </a:ln>
      </c:spPr>
    </c:title>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0"/>
        </c:ser>
        <c:dLbls>
          <c:showLegendKey val="0"/>
          <c:showVal val="0"/>
          <c:showCatName val="0"/>
          <c:showSerName val="0"/>
          <c:showPercent val="0"/>
          <c:showBubbleSize val="0"/>
        </c:dLbls>
        <c:axId val="135696384"/>
        <c:axId val="135698688"/>
      </c:scatterChart>
      <c:valAx>
        <c:axId val="135696384"/>
        <c:scaling>
          <c:orientation val="minMax"/>
          <c:max val="8"/>
          <c:min val="1"/>
        </c:scaling>
        <c:delete val="0"/>
        <c:axPos val="b"/>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Leitura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698688"/>
        <c:crosses val="autoZero"/>
        <c:crossBetween val="midCat"/>
      </c:valAx>
      <c:valAx>
        <c:axId val="135698688"/>
        <c:scaling>
          <c:orientation val="minMax"/>
        </c:scaling>
        <c:delete val="0"/>
        <c:axPos val="l"/>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696384"/>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333333"/>
                </a:solidFill>
                <a:latin typeface="Arial"/>
                <a:ea typeface="Arial"/>
                <a:cs typeface="Arial"/>
              </a:defRPr>
            </a:pPr>
            <a:r>
              <a:rPr lang="pt-BR"/>
              <a:t>Reprodutibilidade de Dose</a:t>
            </a:r>
          </a:p>
        </c:rich>
      </c:tx>
      <c:overlay val="0"/>
      <c:spPr>
        <a:noFill/>
        <a:ln w="25400">
          <a:noFill/>
        </a:ln>
      </c:spPr>
    </c:title>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0"/>
        </c:ser>
        <c:dLbls>
          <c:showLegendKey val="0"/>
          <c:showVal val="0"/>
          <c:showCatName val="0"/>
          <c:showSerName val="0"/>
          <c:showPercent val="0"/>
          <c:showBubbleSize val="0"/>
        </c:dLbls>
        <c:axId val="135800704"/>
        <c:axId val="135803264"/>
      </c:scatterChart>
      <c:valAx>
        <c:axId val="135800704"/>
        <c:scaling>
          <c:orientation val="minMax"/>
          <c:max val="8"/>
          <c:min val="1"/>
        </c:scaling>
        <c:delete val="0"/>
        <c:axPos val="b"/>
        <c:majorGridlines>
          <c:spPr>
            <a:ln w="3175">
              <a:solidFill>
                <a:srgbClr val="000000"/>
              </a:solidFill>
              <a:prstDash val="solid"/>
            </a:ln>
          </c:spPr>
        </c:majorGridlines>
        <c:title>
          <c:tx>
            <c:rich>
              <a:bodyPr/>
              <a:lstStyle/>
              <a:p>
                <a:pPr>
                  <a:defRPr sz="225" b="1" i="0" u="none" strike="noStrike" baseline="0">
                    <a:solidFill>
                      <a:srgbClr val="333333"/>
                    </a:solidFill>
                    <a:latin typeface="Arial"/>
                    <a:ea typeface="Arial"/>
                    <a:cs typeface="Arial"/>
                  </a:defRPr>
                </a:pPr>
                <a:r>
                  <a:rPr lang="pt-BR"/>
                  <a:t>Leitura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333333"/>
                </a:solidFill>
                <a:latin typeface="Arial"/>
                <a:ea typeface="Arial"/>
                <a:cs typeface="Arial"/>
              </a:defRPr>
            </a:pPr>
            <a:endParaRPr lang="pt-BR"/>
          </a:p>
        </c:txPr>
        <c:crossAx val="135803264"/>
        <c:crosses val="autoZero"/>
        <c:crossBetween val="midCat"/>
      </c:valAx>
      <c:valAx>
        <c:axId val="135803264"/>
        <c:scaling>
          <c:orientation val="minMax"/>
        </c:scaling>
        <c:delete val="0"/>
        <c:axPos val="l"/>
        <c:majorGridlines>
          <c:spPr>
            <a:ln w="3175">
              <a:solidFill>
                <a:srgbClr val="000000"/>
              </a:solidFill>
              <a:prstDash val="solid"/>
            </a:ln>
          </c:spPr>
        </c:majorGridlines>
        <c:title>
          <c:tx>
            <c:rich>
              <a:bodyPr/>
              <a:lstStyle/>
              <a:p>
                <a:pPr>
                  <a:defRPr sz="22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333333"/>
                </a:solidFill>
                <a:latin typeface="Arial"/>
                <a:ea typeface="Arial"/>
                <a:cs typeface="Arial"/>
              </a:defRPr>
            </a:pPr>
            <a:endParaRPr lang="pt-BR"/>
          </a:p>
        </c:txPr>
        <c:crossAx val="135800704"/>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2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5" b="1" i="0" u="none" strike="noStrike" baseline="0">
                <a:solidFill>
                  <a:srgbClr val="333333"/>
                </a:solidFill>
                <a:latin typeface="Arial"/>
                <a:ea typeface="Arial"/>
                <a:cs typeface="Arial"/>
              </a:defRPr>
            </a:pPr>
            <a:r>
              <a:rPr lang="pt-BR"/>
              <a:t>Reprodutibilidade de kVp</a:t>
            </a:r>
          </a:p>
        </c:rich>
      </c:tx>
      <c:overlay val="0"/>
      <c:spPr>
        <a:noFill/>
        <a:ln w="25400">
          <a:noFill/>
        </a:ln>
      </c:spPr>
    </c:title>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0"/>
        </c:ser>
        <c:dLbls>
          <c:showLegendKey val="0"/>
          <c:showVal val="0"/>
          <c:showCatName val="0"/>
          <c:showSerName val="0"/>
          <c:showPercent val="0"/>
          <c:showBubbleSize val="0"/>
        </c:dLbls>
        <c:axId val="135852032"/>
        <c:axId val="135854336"/>
      </c:scatterChart>
      <c:valAx>
        <c:axId val="135852032"/>
        <c:scaling>
          <c:orientation val="minMax"/>
          <c:max val="8"/>
          <c:min val="1"/>
        </c:scaling>
        <c:delete val="0"/>
        <c:axPos val="b"/>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Leitura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854336"/>
        <c:crosses val="autoZero"/>
        <c:crossBetween val="midCat"/>
      </c:valAx>
      <c:valAx>
        <c:axId val="135854336"/>
        <c:scaling>
          <c:orientation val="minMax"/>
        </c:scaling>
        <c:delete val="0"/>
        <c:axPos val="l"/>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5852032"/>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5" b="1" i="0" u="none" strike="noStrike" baseline="0">
                <a:solidFill>
                  <a:srgbClr val="333333"/>
                </a:solidFill>
                <a:latin typeface="Arial"/>
                <a:ea typeface="Arial"/>
                <a:cs typeface="Arial"/>
              </a:defRPr>
            </a:pPr>
            <a:r>
              <a:rPr lang="pt-BR"/>
              <a:t>Reprodutibilidade de tempo</a:t>
            </a:r>
          </a:p>
        </c:rich>
      </c:tx>
      <c:overlay val="0"/>
      <c:spPr>
        <a:noFill/>
        <a:ln w="25400">
          <a:noFill/>
        </a:ln>
      </c:spPr>
    </c:title>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0"/>
        </c:ser>
        <c:dLbls>
          <c:showLegendKey val="0"/>
          <c:showVal val="0"/>
          <c:showCatName val="0"/>
          <c:showSerName val="0"/>
          <c:showPercent val="0"/>
          <c:showBubbleSize val="0"/>
        </c:dLbls>
        <c:axId val="136415104"/>
        <c:axId val="136434048"/>
      </c:scatterChart>
      <c:valAx>
        <c:axId val="136415104"/>
        <c:scaling>
          <c:orientation val="minMax"/>
          <c:max val="8"/>
          <c:min val="1"/>
        </c:scaling>
        <c:delete val="0"/>
        <c:axPos val="b"/>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Leitura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6434048"/>
        <c:crosses val="autoZero"/>
        <c:crossBetween val="midCat"/>
      </c:valAx>
      <c:valAx>
        <c:axId val="136434048"/>
        <c:scaling>
          <c:orientation val="minMax"/>
        </c:scaling>
        <c:delete val="0"/>
        <c:axPos val="l"/>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6415104"/>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5" b="1" i="0" u="none" strike="noStrike" baseline="0">
                <a:solidFill>
                  <a:srgbClr val="333333"/>
                </a:solidFill>
                <a:latin typeface="Arial"/>
                <a:ea typeface="Arial"/>
                <a:cs typeface="Arial"/>
              </a:defRPr>
            </a:pPr>
            <a:r>
              <a:rPr lang="pt-BR"/>
              <a:t>Camada Semi-Redutora</a:t>
            </a:r>
          </a:p>
        </c:rich>
      </c:tx>
      <c:overlay val="0"/>
      <c:spPr>
        <a:noFill/>
        <a:ln w="25400">
          <a:noFill/>
        </a:ln>
      </c:spPr>
    </c:title>
    <c:autoTitleDeleted val="0"/>
    <c:plotArea>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kVp!#REF!</c:f>
              <c:numCache>
                <c:formatCode>General</c:formatCode>
                <c:ptCount val="1"/>
                <c:pt idx="0">
                  <c:v>1</c:v>
                </c:pt>
              </c:numCache>
            </c:numRef>
          </c:xVal>
          <c:yVal>
            <c:numRef>
              <c:f>kVp!#REF!</c:f>
              <c:numCache>
                <c:formatCode>General</c:formatCode>
                <c:ptCount val="1"/>
                <c:pt idx="0">
                  <c:v>1</c:v>
                </c:pt>
              </c:numCache>
            </c:numRef>
          </c:yVal>
          <c:smooth val="1"/>
        </c:ser>
        <c:dLbls>
          <c:showLegendKey val="0"/>
          <c:showVal val="0"/>
          <c:showCatName val="0"/>
          <c:showSerName val="0"/>
          <c:showPercent val="0"/>
          <c:showBubbleSize val="0"/>
        </c:dLbls>
        <c:axId val="137314304"/>
        <c:axId val="137316608"/>
      </c:scatterChart>
      <c:valAx>
        <c:axId val="137314304"/>
        <c:scaling>
          <c:orientation val="minMax"/>
          <c:max val="5"/>
        </c:scaling>
        <c:delete val="0"/>
        <c:axPos val="b"/>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 mm de Al</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7316608"/>
        <c:crosses val="autoZero"/>
        <c:crossBetween val="midCat"/>
      </c:valAx>
      <c:valAx>
        <c:axId val="137316608"/>
        <c:scaling>
          <c:orientation val="minMax"/>
        </c:scaling>
        <c:delete val="0"/>
        <c:axPos val="l"/>
        <c:majorGridlines>
          <c:spPr>
            <a:ln w="3175">
              <a:solidFill>
                <a:srgbClr val="000000"/>
              </a:solidFill>
              <a:prstDash val="solid"/>
            </a:ln>
          </c:spPr>
        </c:majorGridlines>
        <c:title>
          <c:tx>
            <c:rich>
              <a:bodyPr/>
              <a:lstStyle/>
              <a:p>
                <a:pPr>
                  <a:defRPr sz="275" b="1" i="0" u="none" strike="noStrike" baseline="0">
                    <a:solidFill>
                      <a:srgbClr val="333333"/>
                    </a:solidFill>
                    <a:latin typeface="Arial"/>
                    <a:ea typeface="Arial"/>
                    <a:cs typeface="Arial"/>
                  </a:defRPr>
                </a:pPr>
                <a:r>
                  <a:rPr lang="pt-BR"/>
                  <a:t>Exposição (mR)</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75" b="0" i="0" u="none" strike="noStrike" baseline="0">
                <a:solidFill>
                  <a:srgbClr val="333333"/>
                </a:solidFill>
                <a:latin typeface="Arial"/>
                <a:ea typeface="Arial"/>
                <a:cs typeface="Arial"/>
              </a:defRPr>
            </a:pPr>
            <a:endParaRPr lang="pt-BR"/>
          </a:p>
        </c:txPr>
        <c:crossAx val="137314304"/>
        <c:crosses val="autoZero"/>
        <c:crossBetween val="midCat"/>
      </c:valAx>
      <c:spPr>
        <a:gradFill rotWithShape="0">
          <a:gsLst>
            <a:gs pos="0">
              <a:srgbClr val="FFFFCC">
                <a:gamma/>
                <a:shade val="46275"/>
                <a:invGamma/>
              </a:srgbClr>
            </a:gs>
            <a:gs pos="50000">
              <a:srgbClr val="FFFFCC"/>
            </a:gs>
            <a:gs pos="100000">
              <a:srgbClr val="FFFFCC">
                <a:gamma/>
                <a:shade val="46275"/>
                <a:invGamma/>
              </a:srgbClr>
            </a:gs>
          </a:gsLst>
          <a:lin ang="5400000" scaled="1"/>
        </a:gra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333333"/>
          </a:solidFill>
          <a:latin typeface="Arial"/>
          <a:ea typeface="Arial"/>
          <a:cs typeface="Arial"/>
        </a:defRPr>
      </a:pPr>
      <a:endParaRPr lang="pt-BR"/>
    </a:p>
  </c:txPr>
  <c:printSettings>
    <c:headerFooter alignWithMargins="0"/>
    <c:pageMargins b="0.984251969" l="0.78740157499999996" r="0.78740157499999996" t="0.984251969" header="0.49212598499999999" footer="0.49212598499999999"/>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4"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0</xdr:col>
      <xdr:colOff>352425</xdr:colOff>
      <xdr:row>0</xdr:row>
      <xdr:rowOff>47627</xdr:rowOff>
    </xdr:from>
    <xdr:to>
      <xdr:col>0</xdr:col>
      <xdr:colOff>438150</xdr:colOff>
      <xdr:row>40</xdr:row>
      <xdr:rowOff>228601</xdr:rowOff>
    </xdr:to>
    <xdr:sp macro="" textlink="">
      <xdr:nvSpPr>
        <xdr:cNvPr id="2" name="Rectangle 18"/>
        <xdr:cNvSpPr>
          <a:spLocks noChangeArrowheads="1"/>
        </xdr:cNvSpPr>
      </xdr:nvSpPr>
      <xdr:spPr bwMode="auto">
        <a:xfrm>
          <a:off x="352425" y="47627"/>
          <a:ext cx="85725" cy="9858374"/>
        </a:xfrm>
        <a:prstGeom prst="rect">
          <a:avLst/>
        </a:prstGeom>
        <a:solidFill>
          <a:srgbClr val="FFFFFF"/>
        </a:solidFill>
        <a:ln w="28575">
          <a:solidFill>
            <a:srgbClr val="666699"/>
          </a:solidFill>
          <a:miter lim="800000"/>
          <a:headEnd/>
          <a:tailEnd/>
        </a:ln>
      </xdr:spPr>
    </xdr:sp>
    <xdr:clientData/>
  </xdr:twoCellAnchor>
  <xdr:twoCellAnchor>
    <xdr:from>
      <xdr:col>8</xdr:col>
      <xdr:colOff>396875</xdr:colOff>
      <xdr:row>0</xdr:row>
      <xdr:rowOff>57151</xdr:rowOff>
    </xdr:from>
    <xdr:to>
      <xdr:col>8</xdr:col>
      <xdr:colOff>504825</xdr:colOff>
      <xdr:row>40</xdr:row>
      <xdr:rowOff>228601</xdr:rowOff>
    </xdr:to>
    <xdr:sp macro="" textlink="">
      <xdr:nvSpPr>
        <xdr:cNvPr id="3" name="Rectangle 2"/>
        <xdr:cNvSpPr>
          <a:spLocks noChangeArrowheads="1"/>
        </xdr:cNvSpPr>
      </xdr:nvSpPr>
      <xdr:spPr bwMode="auto">
        <a:xfrm>
          <a:off x="7178675" y="57151"/>
          <a:ext cx="107950" cy="9848850"/>
        </a:xfrm>
        <a:prstGeom prst="rect">
          <a:avLst/>
        </a:prstGeom>
        <a:solidFill>
          <a:srgbClr val="FFFFFF"/>
        </a:solidFill>
        <a:ln w="28575">
          <a:solidFill>
            <a:srgbClr val="666699"/>
          </a:solidFill>
          <a:miter lim="800000"/>
          <a:headEnd/>
          <a:tailEnd/>
        </a:ln>
      </xdr:spPr>
    </xdr:sp>
    <xdr:clientData/>
  </xdr:twoCellAnchor>
  <xdr:twoCellAnchor>
    <xdr:from>
      <xdr:col>0</xdr:col>
      <xdr:colOff>533400</xdr:colOff>
      <xdr:row>0</xdr:row>
      <xdr:rowOff>9525</xdr:rowOff>
    </xdr:from>
    <xdr:to>
      <xdr:col>8</xdr:col>
      <xdr:colOff>285750</xdr:colOff>
      <xdr:row>0</xdr:row>
      <xdr:rowOff>142875</xdr:rowOff>
    </xdr:to>
    <xdr:sp macro="" textlink="">
      <xdr:nvSpPr>
        <xdr:cNvPr id="4" name="Rectangle 5"/>
        <xdr:cNvSpPr>
          <a:spLocks noChangeArrowheads="1"/>
        </xdr:cNvSpPr>
      </xdr:nvSpPr>
      <xdr:spPr bwMode="auto">
        <a:xfrm rot="-5400000">
          <a:off x="3733800" y="-3190875"/>
          <a:ext cx="133350" cy="6534150"/>
        </a:xfrm>
        <a:prstGeom prst="rect">
          <a:avLst/>
        </a:prstGeom>
        <a:solidFill>
          <a:srgbClr val="000000"/>
        </a:solidFill>
        <a:ln w="28575">
          <a:solidFill>
            <a:srgbClr val="99CC00"/>
          </a:solidFill>
          <a:miter lim="800000"/>
          <a:headEnd/>
          <a:tailEnd/>
        </a:ln>
      </xdr:spPr>
    </xdr:sp>
    <xdr:clientData/>
  </xdr:twoCellAnchor>
  <xdr:twoCellAnchor>
    <xdr:from>
      <xdr:col>0</xdr:col>
      <xdr:colOff>342900</xdr:colOff>
      <xdr:row>0</xdr:row>
      <xdr:rowOff>0</xdr:rowOff>
    </xdr:from>
    <xdr:to>
      <xdr:col>8</xdr:col>
      <xdr:colOff>514350</xdr:colOff>
      <xdr:row>0</xdr:row>
      <xdr:rowOff>114300</xdr:rowOff>
    </xdr:to>
    <xdr:sp macro="" textlink="">
      <xdr:nvSpPr>
        <xdr:cNvPr id="5" name="Rectangle 14" descr="Papel de seda rosa"/>
        <xdr:cNvSpPr>
          <a:spLocks noChangeArrowheads="1"/>
        </xdr:cNvSpPr>
      </xdr:nvSpPr>
      <xdr:spPr bwMode="auto">
        <a:xfrm rot="-5400000">
          <a:off x="3762375" y="-3419475"/>
          <a:ext cx="114300" cy="6953250"/>
        </a:xfrm>
        <a:prstGeom prst="rect">
          <a:avLst/>
        </a:prstGeom>
        <a:blipFill dpi="0" rotWithShape="0">
          <a:blip xmlns:r="http://schemas.openxmlformats.org/officeDocument/2006/relationships" r:embed="rId1"/>
          <a:srcRect/>
          <a:tile tx="0" ty="0" sx="100000" sy="100000" flip="none" algn="tl"/>
        </a:blipFill>
        <a:ln w="28575">
          <a:solidFill>
            <a:srgbClr val="666699"/>
          </a:solidFill>
          <a:miter lim="800000"/>
          <a:headEnd/>
          <a:tailEnd/>
        </a:ln>
      </xdr:spPr>
    </xdr:sp>
    <xdr:clientData/>
  </xdr:twoCellAnchor>
  <xdr:twoCellAnchor>
    <xdr:from>
      <xdr:col>3</xdr:col>
      <xdr:colOff>504825</xdr:colOff>
      <xdr:row>37</xdr:row>
      <xdr:rowOff>3175</xdr:rowOff>
    </xdr:from>
    <xdr:to>
      <xdr:col>7</xdr:col>
      <xdr:colOff>304800</xdr:colOff>
      <xdr:row>37</xdr:row>
      <xdr:rowOff>3175</xdr:rowOff>
    </xdr:to>
    <xdr:sp macro="" textlink="">
      <xdr:nvSpPr>
        <xdr:cNvPr id="6" name="Line 6"/>
        <xdr:cNvSpPr>
          <a:spLocks noChangeShapeType="1"/>
        </xdr:cNvSpPr>
      </xdr:nvSpPr>
      <xdr:spPr bwMode="auto">
        <a:xfrm>
          <a:off x="3048000" y="8937625"/>
          <a:ext cx="319087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120624</xdr:colOff>
      <xdr:row>33</xdr:row>
      <xdr:rowOff>152333</xdr:rowOff>
    </xdr:from>
    <xdr:to>
      <xdr:col>2</xdr:col>
      <xdr:colOff>525164</xdr:colOff>
      <xdr:row>38</xdr:row>
      <xdr:rowOff>119772</xdr:rowOff>
    </xdr:to>
    <xdr:pic>
      <xdr:nvPicPr>
        <xdr:cNvPr id="7" name="Imagem 10" descr="validade1ano"/>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68349" y="8096183"/>
          <a:ext cx="1252265" cy="12056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701675</xdr:colOff>
      <xdr:row>33</xdr:row>
      <xdr:rowOff>25400</xdr:rowOff>
    </xdr:from>
    <xdr:to>
      <xdr:col>6</xdr:col>
      <xdr:colOff>248978</xdr:colOff>
      <xdr:row>36</xdr:row>
      <xdr:rowOff>198813</xdr:rowOff>
    </xdr:to>
    <xdr:pic>
      <xdr:nvPicPr>
        <xdr:cNvPr id="8" name="Imagem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092575" y="7969250"/>
          <a:ext cx="1242753" cy="9163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533400</xdr:colOff>
      <xdr:row>40</xdr:row>
      <xdr:rowOff>85725</xdr:rowOff>
    </xdr:from>
    <xdr:to>
      <xdr:col>8</xdr:col>
      <xdr:colOff>285750</xdr:colOff>
      <xdr:row>40</xdr:row>
      <xdr:rowOff>219075</xdr:rowOff>
    </xdr:to>
    <xdr:sp macro="" textlink="">
      <xdr:nvSpPr>
        <xdr:cNvPr id="9" name="Rectangle 5"/>
        <xdr:cNvSpPr>
          <a:spLocks noChangeArrowheads="1"/>
        </xdr:cNvSpPr>
      </xdr:nvSpPr>
      <xdr:spPr bwMode="auto">
        <a:xfrm rot="-5400000">
          <a:off x="3733800" y="6562725"/>
          <a:ext cx="133350" cy="6534150"/>
        </a:xfrm>
        <a:prstGeom prst="rect">
          <a:avLst/>
        </a:prstGeom>
        <a:solidFill>
          <a:srgbClr val="000000"/>
        </a:solidFill>
        <a:ln w="28575">
          <a:solidFill>
            <a:srgbClr val="99CC00"/>
          </a:solidFill>
          <a:miter lim="800000"/>
          <a:headEnd/>
          <a:tailEnd/>
        </a:ln>
      </xdr:spPr>
    </xdr:sp>
    <xdr:clientData/>
  </xdr:twoCellAnchor>
  <xdr:twoCellAnchor>
    <xdr:from>
      <xdr:col>0</xdr:col>
      <xdr:colOff>342900</xdr:colOff>
      <xdr:row>40</xdr:row>
      <xdr:rowOff>114300</xdr:rowOff>
    </xdr:from>
    <xdr:to>
      <xdr:col>8</xdr:col>
      <xdr:colOff>514350</xdr:colOff>
      <xdr:row>40</xdr:row>
      <xdr:rowOff>228600</xdr:rowOff>
    </xdr:to>
    <xdr:sp macro="" textlink="">
      <xdr:nvSpPr>
        <xdr:cNvPr id="10" name="Rectangle 14" descr="Papel de seda rosa"/>
        <xdr:cNvSpPr>
          <a:spLocks noChangeArrowheads="1"/>
        </xdr:cNvSpPr>
      </xdr:nvSpPr>
      <xdr:spPr bwMode="auto">
        <a:xfrm rot="-5400000">
          <a:off x="3762375" y="6372225"/>
          <a:ext cx="114300" cy="6953250"/>
        </a:xfrm>
        <a:prstGeom prst="rect">
          <a:avLst/>
        </a:prstGeom>
        <a:blipFill dpi="0" rotWithShape="0">
          <a:blip xmlns:r="http://schemas.openxmlformats.org/officeDocument/2006/relationships" r:embed="rId1"/>
          <a:srcRect/>
          <a:tile tx="0" ty="0" sx="100000" sy="100000" flip="none" algn="tl"/>
        </a:blipFill>
        <a:ln w="28575">
          <a:solidFill>
            <a:srgbClr val="666699"/>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571500</xdr:colOff>
          <xdr:row>1</xdr:row>
          <xdr:rowOff>57150</xdr:rowOff>
        </xdr:from>
        <xdr:to>
          <xdr:col>6</xdr:col>
          <xdr:colOff>257175</xdr:colOff>
          <xdr:row>4</xdr:row>
          <xdr:rowOff>66675</xdr:rowOff>
        </xdr:to>
        <xdr:sp macro="" textlink="">
          <xdr:nvSpPr>
            <xdr:cNvPr id="22530" name="OcultarDados" hidden="1">
              <a:extLst>
                <a:ext uri="{63B3BB69-23CF-44E3-9099-C40C66FF867C}">
                  <a14:compatExt spid="_x0000_s22530"/>
                </a:ext>
              </a:extLst>
            </xdr:cNvPr>
            <xdr:cNvSpPr/>
          </xdr:nvSpPr>
          <xdr:spPr>
            <a:xfrm>
              <a:off x="0" y="0"/>
              <a:ext cx="0" cy="0"/>
            </a:xfrm>
            <a:prstGeom prst="rect">
              <a:avLst/>
            </a:prstGeom>
          </xdr:spPr>
        </xdr:sp>
        <xdr:clientData fPrintsWithSheet="0"/>
      </xdr:twoCellAnchor>
    </mc:Choice>
    <mc:Fallback/>
  </mc:AlternateContent>
  <xdr:twoCellAnchor editAs="oneCell">
    <xdr:from>
      <xdr:col>2</xdr:col>
      <xdr:colOff>2286000</xdr:colOff>
      <xdr:row>5</xdr:row>
      <xdr:rowOff>28575</xdr:rowOff>
    </xdr:from>
    <xdr:to>
      <xdr:col>2</xdr:col>
      <xdr:colOff>2924175</xdr:colOff>
      <xdr:row>6</xdr:row>
      <xdr:rowOff>133350</xdr:rowOff>
    </xdr:to>
    <xdr:sp macro="" textlink="">
      <xdr:nvSpPr>
        <xdr:cNvPr id="5" name="LaudoPDF" hidden="1">
          <a:extLst>
            <a:ext uri="{63B3BB69-23CF-44E3-9099-C40C66FF867C}">
              <a14:compatExt xmlns:a14="http://schemas.microsoft.com/office/drawing/2010/main" spid="_x0000_s2253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2</xdr:col>
      <xdr:colOff>2924175</xdr:colOff>
      <xdr:row>5</xdr:row>
      <xdr:rowOff>19050</xdr:rowOff>
    </xdr:from>
    <xdr:to>
      <xdr:col>3</xdr:col>
      <xdr:colOff>428625</xdr:colOff>
      <xdr:row>6</xdr:row>
      <xdr:rowOff>133350</xdr:rowOff>
    </xdr:to>
    <xdr:sp macro="" textlink="">
      <xdr:nvSpPr>
        <xdr:cNvPr id="6" name="TirarPDF" hidden="1">
          <a:extLst>
            <a:ext uri="{63B3BB69-23CF-44E3-9099-C40C66FF867C}">
              <a14:compatExt xmlns:a14="http://schemas.microsoft.com/office/drawing/2010/main" spid="_x0000_s2254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28576</xdr:colOff>
      <xdr:row>1</xdr:row>
      <xdr:rowOff>219075</xdr:rowOff>
    </xdr:from>
    <xdr:to>
      <xdr:col>9</xdr:col>
      <xdr:colOff>492126</xdr:colOff>
      <xdr:row>5</xdr:row>
      <xdr:rowOff>301626</xdr:rowOff>
    </xdr:to>
    <xdr:sp macro="" textlink="">
      <xdr:nvSpPr>
        <xdr:cNvPr id="21505" name="Text Box 1"/>
        <xdr:cNvSpPr txBox="1">
          <a:spLocks noChangeArrowheads="1"/>
        </xdr:cNvSpPr>
      </xdr:nvSpPr>
      <xdr:spPr bwMode="auto">
        <a:xfrm>
          <a:off x="28576" y="552450"/>
          <a:ext cx="5892800" cy="1177926"/>
        </a:xfrm>
        <a:prstGeom prst="rect">
          <a:avLst/>
        </a:prstGeom>
        <a:solidFill>
          <a:srgbClr val="FFFFFF"/>
        </a:solidFill>
        <a:ln w="9525">
          <a:noFill/>
          <a:miter lim="800000"/>
          <a:headEnd/>
          <a:tailEnd/>
        </a:ln>
      </xdr:spPr>
      <xdr:txBody>
        <a:bodyPr vertOverflow="clip" wrap="square" lIns="36576" tIns="36576" rIns="36576" bIns="0" anchor="t" upright="1"/>
        <a:lstStyle/>
        <a:p>
          <a:pPr algn="just" rtl="0">
            <a:defRPr sz="1000"/>
          </a:pPr>
          <a:r>
            <a:rPr lang="pt-BR" sz="1700" b="0" i="0" u="none" strike="noStrike" baseline="0">
              <a:solidFill>
                <a:srgbClr val="000000"/>
              </a:solidFill>
              <a:latin typeface="Times New Roman"/>
              <a:cs typeface="Times New Roman"/>
            </a:rPr>
            <a:t>* A aferição da performance do tubo de Raios-X, conjuntamente com o gerador e a processadora de filmes, foram realizados de acordo com  as recomendações da Secretaria de Vigilância Sanitária.</a:t>
          </a:r>
        </a:p>
      </xdr:txBody>
    </xdr:sp>
    <xdr:clientData/>
  </xdr:twoCellAnchor>
  <xdr:twoCellAnchor>
    <xdr:from>
      <xdr:col>0</xdr:col>
      <xdr:colOff>47626</xdr:colOff>
      <xdr:row>9</xdr:row>
      <xdr:rowOff>114301</xdr:rowOff>
    </xdr:from>
    <xdr:to>
      <xdr:col>9</xdr:col>
      <xdr:colOff>523876</xdr:colOff>
      <xdr:row>17</xdr:row>
      <xdr:rowOff>222251</xdr:rowOff>
    </xdr:to>
    <xdr:sp macro="" textlink="">
      <xdr:nvSpPr>
        <xdr:cNvPr id="21506" name="Text Box 2"/>
        <xdr:cNvSpPr txBox="1">
          <a:spLocks noChangeArrowheads="1"/>
        </xdr:cNvSpPr>
      </xdr:nvSpPr>
      <xdr:spPr bwMode="auto">
        <a:xfrm>
          <a:off x="47626" y="2876551"/>
          <a:ext cx="5905500" cy="2774950"/>
        </a:xfrm>
        <a:prstGeom prst="rect">
          <a:avLst/>
        </a:prstGeom>
        <a:solidFill>
          <a:srgbClr val="FFFFFF"/>
        </a:solidFill>
        <a:ln w="9525">
          <a:noFill/>
          <a:miter lim="800000"/>
          <a:headEnd/>
          <a:tailEnd/>
        </a:ln>
      </xdr:spPr>
      <xdr:txBody>
        <a:bodyPr vertOverflow="clip" wrap="square" lIns="36576" tIns="36576" rIns="36576" bIns="0" anchor="t" upright="1"/>
        <a:lstStyle/>
        <a:p>
          <a:pPr algn="just" rtl="0">
            <a:defRPr sz="1000"/>
          </a:pPr>
          <a:r>
            <a:rPr lang="pt-BR" sz="1700" b="0" i="0" u="none" strike="noStrike" baseline="0">
              <a:solidFill>
                <a:srgbClr val="000000"/>
              </a:solidFill>
              <a:latin typeface="Times New Roman"/>
              <a:cs typeface="Times New Roman"/>
            </a:rPr>
            <a:t>* Os testes de controle de qualidade empregaram o uso de sensores Rapidose, ou de: uma câmara de ionização fabricada pela Radcal e eletrômetros Radcal 9010 e 4082.</a:t>
          </a:r>
        </a:p>
        <a:p>
          <a:pPr algn="just" rtl="0">
            <a:defRPr sz="1000"/>
          </a:pPr>
          <a:r>
            <a:rPr lang="pt-BR" sz="1700" b="0" i="0" u="none" strike="noStrike" baseline="0">
              <a:solidFill>
                <a:srgbClr val="000000"/>
              </a:solidFill>
              <a:latin typeface="Times New Roman"/>
              <a:cs typeface="Times New Roman"/>
            </a:rPr>
            <a:t>*As cópias dos certificados de calibrações encontram-se anexo ao relatório de teste.</a:t>
          </a:r>
        </a:p>
        <a:p>
          <a:pPr algn="just" rtl="0">
            <a:defRPr sz="1000"/>
          </a:pPr>
          <a:r>
            <a:rPr lang="pt-BR" sz="1700" b="0" i="0" u="none" strike="noStrike" baseline="0">
              <a:solidFill>
                <a:srgbClr val="000000"/>
              </a:solidFill>
              <a:latin typeface="Times New Roman"/>
              <a:cs typeface="Times New Roman"/>
            </a:rPr>
            <a:t>* Os testes mecânicos de alinhamento, tamanho de ponto focal, dose, camada semi- redutora, grade foram realizados com Kits fornecidos pela RMI.</a:t>
          </a:r>
        </a:p>
        <a:p>
          <a:pPr algn="just" rtl="0">
            <a:defRPr sz="1000"/>
          </a:pPr>
          <a:r>
            <a:rPr lang="pt-BR" sz="1700" b="0" i="0" u="none" strike="noStrike" baseline="0">
              <a:solidFill>
                <a:srgbClr val="000000"/>
              </a:solidFill>
              <a:latin typeface="Times New Roman"/>
              <a:cs typeface="Times New Roman"/>
            </a:rPr>
            <a:t>* Os testes de processadoras, foram realizados com o conjunto de sensitômetro e densitômetro fornecidos pela RMI / Victoreen.</a:t>
          </a:r>
        </a:p>
      </xdr:txBody>
    </xdr:sp>
    <xdr:clientData/>
  </xdr:twoCellAnchor>
  <xdr:twoCellAnchor>
    <xdr:from>
      <xdr:col>0</xdr:col>
      <xdr:colOff>76201</xdr:colOff>
      <xdr:row>20</xdr:row>
      <xdr:rowOff>314325</xdr:rowOff>
    </xdr:from>
    <xdr:to>
      <xdr:col>9</xdr:col>
      <xdr:colOff>476250</xdr:colOff>
      <xdr:row>26</xdr:row>
      <xdr:rowOff>0</xdr:rowOff>
    </xdr:to>
    <xdr:sp macro="" textlink="">
      <xdr:nvSpPr>
        <xdr:cNvPr id="21507" name="Text Box 3"/>
        <xdr:cNvSpPr txBox="1">
          <a:spLocks noChangeArrowheads="1"/>
        </xdr:cNvSpPr>
      </xdr:nvSpPr>
      <xdr:spPr bwMode="auto">
        <a:xfrm>
          <a:off x="76201" y="7061200"/>
          <a:ext cx="5829299" cy="1654175"/>
        </a:xfrm>
        <a:prstGeom prst="rect">
          <a:avLst/>
        </a:prstGeom>
        <a:solidFill>
          <a:srgbClr val="FFFFFF"/>
        </a:solidFill>
        <a:ln w="9525">
          <a:noFill/>
          <a:miter lim="800000"/>
          <a:headEnd/>
          <a:tailEnd/>
        </a:ln>
      </xdr:spPr>
      <xdr:txBody>
        <a:bodyPr vertOverflow="clip" wrap="square" lIns="45720" tIns="41148" rIns="45720" bIns="0" anchor="t" upright="1"/>
        <a:lstStyle/>
        <a:p>
          <a:pPr algn="just" rtl="0">
            <a:defRPr sz="1000"/>
          </a:pPr>
          <a:r>
            <a:rPr lang="pt-BR" sz="1700" b="0" i="0" u="none" strike="noStrike" baseline="0">
              <a:solidFill>
                <a:srgbClr val="000000"/>
              </a:solidFill>
              <a:latin typeface="Times New Roman"/>
              <a:cs typeface="Times New Roman"/>
            </a:rPr>
            <a:t>* A metodologia empregada baseou-se na publicação da American Association of Physcist in Medicine Quality Control in Radiology número 4. Os valores de referências foram mantidos pelas normas da portaria 453 de 01 de Junho de 1998 da SVS e Resolução nº 64 de 04 de abril de 2003.</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400050</xdr:colOff>
          <xdr:row>4</xdr:row>
          <xdr:rowOff>123825</xdr:rowOff>
        </xdr:from>
        <xdr:to>
          <xdr:col>8</xdr:col>
          <xdr:colOff>619125</xdr:colOff>
          <xdr:row>7</xdr:row>
          <xdr:rowOff>142875</xdr:rowOff>
        </xdr:to>
        <xdr:sp macro="" textlink="">
          <xdr:nvSpPr>
            <xdr:cNvPr id="9226" name="ProcCR" hidden="1">
              <a:extLst>
                <a:ext uri="{63B3BB69-23CF-44E3-9099-C40C66FF867C}">
                  <a14:compatExt spid="_x0000_s922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9</xdr:row>
          <xdr:rowOff>28575</xdr:rowOff>
        </xdr:from>
        <xdr:to>
          <xdr:col>8</xdr:col>
          <xdr:colOff>619125</xdr:colOff>
          <xdr:row>11</xdr:row>
          <xdr:rowOff>161925</xdr:rowOff>
        </xdr:to>
        <xdr:sp macro="" textlink="">
          <xdr:nvSpPr>
            <xdr:cNvPr id="9229" name="ProcConv" hidden="1">
              <a:extLst>
                <a:ext uri="{63B3BB69-23CF-44E3-9099-C40C66FF867C}">
                  <a14:compatExt spid="_x0000_s9229"/>
                </a:ext>
              </a:extLst>
            </xdr:cNvPr>
            <xdr:cNvSpPr/>
          </xdr:nvSpPr>
          <xdr:spPr>
            <a:xfrm>
              <a:off x="0" y="0"/>
              <a:ext cx="0" cy="0"/>
            </a:xfrm>
            <a:prstGeom prst="rect">
              <a:avLst/>
            </a:prstGeom>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0</xdr:rowOff>
    </xdr:from>
    <xdr:to>
      <xdr:col>14</xdr:col>
      <xdr:colOff>0</xdr:colOff>
      <xdr:row>0</xdr:row>
      <xdr:rowOff>0</xdr:rowOff>
    </xdr:to>
    <xdr:sp macro="" textlink="">
      <xdr:nvSpPr>
        <xdr:cNvPr id="4728" name="Line 4"/>
        <xdr:cNvSpPr>
          <a:spLocks noChangeShapeType="1"/>
        </xdr:cNvSpPr>
      </xdr:nvSpPr>
      <xdr:spPr bwMode="auto">
        <a:xfrm>
          <a:off x="19050" y="0"/>
          <a:ext cx="14211300" cy="0"/>
        </a:xfrm>
        <a:prstGeom prst="line">
          <a:avLst/>
        </a:prstGeom>
        <a:noFill/>
        <a:ln w="12700">
          <a:solidFill>
            <a:srgbClr val="80808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542925</xdr:colOff>
      <xdr:row>163</xdr:row>
      <xdr:rowOff>0</xdr:rowOff>
    </xdr:from>
    <xdr:to>
      <xdr:col>14</xdr:col>
      <xdr:colOff>714375</xdr:colOff>
      <xdr:row>163</xdr:row>
      <xdr:rowOff>0</xdr:rowOff>
    </xdr:to>
    <xdr:graphicFrame macro="">
      <xdr:nvGraphicFramePr>
        <xdr:cNvPr id="472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163</xdr:row>
      <xdr:rowOff>0</xdr:rowOff>
    </xdr:from>
    <xdr:to>
      <xdr:col>14</xdr:col>
      <xdr:colOff>714375</xdr:colOff>
      <xdr:row>163</xdr:row>
      <xdr:rowOff>0</xdr:rowOff>
    </xdr:to>
    <xdr:graphicFrame macro="">
      <xdr:nvGraphicFramePr>
        <xdr:cNvPr id="4730"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542925</xdr:colOff>
      <xdr:row>163</xdr:row>
      <xdr:rowOff>0</xdr:rowOff>
    </xdr:from>
    <xdr:to>
      <xdr:col>14</xdr:col>
      <xdr:colOff>714375</xdr:colOff>
      <xdr:row>163</xdr:row>
      <xdr:rowOff>0</xdr:rowOff>
    </xdr:to>
    <xdr:graphicFrame macro="">
      <xdr:nvGraphicFramePr>
        <xdr:cNvPr id="4731"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542925</xdr:colOff>
      <xdr:row>163</xdr:row>
      <xdr:rowOff>0</xdr:rowOff>
    </xdr:from>
    <xdr:to>
      <xdr:col>14</xdr:col>
      <xdr:colOff>714375</xdr:colOff>
      <xdr:row>163</xdr:row>
      <xdr:rowOff>0</xdr:rowOff>
    </xdr:to>
    <xdr:graphicFrame macro="">
      <xdr:nvGraphicFramePr>
        <xdr:cNvPr id="4732"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542925</xdr:colOff>
      <xdr:row>163</xdr:row>
      <xdr:rowOff>0</xdr:rowOff>
    </xdr:from>
    <xdr:to>
      <xdr:col>14</xdr:col>
      <xdr:colOff>714375</xdr:colOff>
      <xdr:row>163</xdr:row>
      <xdr:rowOff>0</xdr:rowOff>
    </xdr:to>
    <xdr:graphicFrame macro="">
      <xdr:nvGraphicFramePr>
        <xdr:cNvPr id="4733"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352425</xdr:colOff>
      <xdr:row>163</xdr:row>
      <xdr:rowOff>0</xdr:rowOff>
    </xdr:from>
    <xdr:to>
      <xdr:col>12</xdr:col>
      <xdr:colOff>133350</xdr:colOff>
      <xdr:row>163</xdr:row>
      <xdr:rowOff>0</xdr:rowOff>
    </xdr:to>
    <xdr:graphicFrame macro="">
      <xdr:nvGraphicFramePr>
        <xdr:cNvPr id="4734"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333375</xdr:colOff>
          <xdr:row>7</xdr:row>
          <xdr:rowOff>133350</xdr:rowOff>
        </xdr:from>
        <xdr:to>
          <xdr:col>7</xdr:col>
          <xdr:colOff>152400</xdr:colOff>
          <xdr:row>11</xdr:row>
          <xdr:rowOff>76200</xdr:rowOff>
        </xdr:to>
        <xdr:sp macro="" textlink="">
          <xdr:nvSpPr>
            <xdr:cNvPr id="4147" name="Gerador_kVp" hidden="1">
              <a:extLst>
                <a:ext uri="{63B3BB69-23CF-44E3-9099-C40C66FF867C}">
                  <a14:compatExt spid="_x0000_s4147"/>
                </a:ext>
              </a:extLst>
            </xdr:cNvPr>
            <xdr:cNvSpPr/>
          </xdr:nvSpPr>
          <xdr:spPr>
            <a:xfrm>
              <a:off x="0" y="0"/>
              <a:ext cx="0" cy="0"/>
            </a:xfrm>
            <a:prstGeom prst="rect">
              <a:avLst/>
            </a:prstGeom>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85725</xdr:colOff>
          <xdr:row>14</xdr:row>
          <xdr:rowOff>57150</xdr:rowOff>
        </xdr:from>
        <xdr:to>
          <xdr:col>8</xdr:col>
          <xdr:colOff>266700</xdr:colOff>
          <xdr:row>18</xdr:row>
          <xdr:rowOff>0</xdr:rowOff>
        </xdr:to>
        <xdr:sp macro="" textlink="">
          <xdr:nvSpPr>
            <xdr:cNvPr id="19466" name="Gerador_Tempos" hidden="1">
              <a:extLst>
                <a:ext uri="{63B3BB69-23CF-44E3-9099-C40C66FF867C}">
                  <a14:compatExt spid="_x0000_s1946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619125</xdr:colOff>
          <xdr:row>18</xdr:row>
          <xdr:rowOff>76200</xdr:rowOff>
        </xdr:from>
        <xdr:to>
          <xdr:col>7</xdr:col>
          <xdr:colOff>485775</xdr:colOff>
          <xdr:row>22</xdr:row>
          <xdr:rowOff>19050</xdr:rowOff>
        </xdr:to>
        <xdr:sp macro="" textlink="">
          <xdr:nvSpPr>
            <xdr:cNvPr id="19467" name="SemTempoNominal" hidden="1">
              <a:extLst>
                <a:ext uri="{63B3BB69-23CF-44E3-9099-C40C66FF867C}">
                  <a14:compatExt spid="_x0000_s194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18</xdr:row>
          <xdr:rowOff>76200</xdr:rowOff>
        </xdr:from>
        <xdr:to>
          <xdr:col>9</xdr:col>
          <xdr:colOff>95250</xdr:colOff>
          <xdr:row>22</xdr:row>
          <xdr:rowOff>9525</xdr:rowOff>
        </xdr:to>
        <xdr:sp macro="" textlink="">
          <xdr:nvSpPr>
            <xdr:cNvPr id="19469" name="ComTempoNominal" hidden="1">
              <a:extLst>
                <a:ext uri="{63B3BB69-23CF-44E3-9099-C40C66FF867C}">
                  <a14:compatExt spid="_x0000_s194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xdr:row>
          <xdr:rowOff>323850</xdr:rowOff>
        </xdr:from>
        <xdr:to>
          <xdr:col>9</xdr:col>
          <xdr:colOff>142875</xdr:colOff>
          <xdr:row>7</xdr:row>
          <xdr:rowOff>28575</xdr:rowOff>
        </xdr:to>
        <xdr:sp macro="" textlink="">
          <xdr:nvSpPr>
            <xdr:cNvPr id="19470" name="SemRefAnterior" hidden="1">
              <a:extLst>
                <a:ext uri="{63B3BB69-23CF-44E3-9099-C40C66FF867C}">
                  <a14:compatExt spid="_x0000_s19470"/>
                </a:ext>
              </a:extLst>
            </xdr:cNvPr>
            <xdr:cNvSpPr/>
          </xdr:nvSpPr>
          <xdr:spPr>
            <a:xfrm>
              <a:off x="0" y="0"/>
              <a:ext cx="0" cy="0"/>
            </a:xfrm>
            <a:prstGeom prst="rect">
              <a:avLst/>
            </a:prstGeom>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9</xdr:col>
      <xdr:colOff>0</xdr:colOff>
      <xdr:row>0</xdr:row>
      <xdr:rowOff>0</xdr:rowOff>
    </xdr:to>
    <xdr:sp macro="" textlink="">
      <xdr:nvSpPr>
        <xdr:cNvPr id="10347" name="Line 1"/>
        <xdr:cNvSpPr>
          <a:spLocks noChangeShapeType="1"/>
        </xdr:cNvSpPr>
      </xdr:nvSpPr>
      <xdr:spPr bwMode="auto">
        <a:xfrm>
          <a:off x="19050" y="0"/>
          <a:ext cx="7156450" cy="0"/>
        </a:xfrm>
        <a:prstGeom prst="line">
          <a:avLst/>
        </a:prstGeom>
        <a:noFill/>
        <a:ln w="12700">
          <a:solidFill>
            <a:srgbClr val="808080"/>
          </a:solidFill>
          <a:round/>
          <a:headEnd/>
          <a:tailEn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103</xdr:row>
          <xdr:rowOff>38100</xdr:rowOff>
        </xdr:from>
        <xdr:to>
          <xdr:col>18</xdr:col>
          <xdr:colOff>161925</xdr:colOff>
          <xdr:row>105</xdr:row>
          <xdr:rowOff>142874</xdr:rowOff>
        </xdr:to>
        <xdr:sp macro="" textlink="">
          <xdr:nvSpPr>
            <xdr:cNvPr id="24580" name="GeradorPendencias" hidden="1">
              <a:extLst>
                <a:ext uri="{63B3BB69-23CF-44E3-9099-C40C66FF867C}">
                  <a14:compatExt spid="_x0000_s24580"/>
                </a:ext>
              </a:extLst>
            </xdr:cNvPr>
            <xdr:cNvSpPr/>
          </xdr:nvSpPr>
          <xdr:spPr>
            <a:xfrm>
              <a:off x="0" y="0"/>
              <a:ext cx="0" cy="0"/>
            </a:xfrm>
            <a:prstGeom prst="rect">
              <a:avLst/>
            </a:prstGeom>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11</xdr:col>
      <xdr:colOff>0</xdr:colOff>
      <xdr:row>35</xdr:row>
      <xdr:rowOff>0</xdr:rowOff>
    </xdr:from>
    <xdr:to>
      <xdr:col>18</xdr:col>
      <xdr:colOff>371475</xdr:colOff>
      <xdr:row>39</xdr:row>
      <xdr:rowOff>38100</xdr:rowOff>
    </xdr:to>
    <xdr:pic>
      <xdr:nvPicPr>
        <xdr:cNvPr id="25686"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19950" y="6905625"/>
          <a:ext cx="471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image" Target="../media/image5.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image" Target="../media/image8.emf"/><Relationship Id="rId5" Type="http://schemas.openxmlformats.org/officeDocument/2006/relationships/control" Target="../activeX/activeX4.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8.vml"/><Relationship Id="rId7" Type="http://schemas.openxmlformats.org/officeDocument/2006/relationships/image" Target="../media/image10.emf"/><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6.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11.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image" Target="../media/image13.emf"/><Relationship Id="rId5" Type="http://schemas.openxmlformats.org/officeDocument/2006/relationships/control" Target="../activeX/activeX9.xml"/><Relationship Id="rId4" Type="http://schemas.openxmlformats.org/officeDocument/2006/relationships/vmlDrawing" Target="../drawings/vmlDrawing13.v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tabColor rgb="FF92D050"/>
  </sheetPr>
  <dimension ref="A1:O249"/>
  <sheetViews>
    <sheetView tabSelected="1" view="pageBreakPreview" zoomScale="70" zoomScaleNormal="100" zoomScaleSheetLayoutView="70" workbookViewId="0">
      <pane ySplit="1" topLeftCell="A2" activePane="bottomLeft" state="frozen"/>
      <selection pane="bottomLeft" activeCell="B11" sqref="B11:H14"/>
    </sheetView>
  </sheetViews>
  <sheetFormatPr defaultRowHeight="15"/>
  <cols>
    <col min="1" max="1" width="42.5703125" style="53" customWidth="1"/>
    <col min="2" max="2" width="27.42578125" style="53" customWidth="1"/>
    <col min="3" max="3" width="22.28515625" style="53" customWidth="1"/>
    <col min="4" max="4" width="24.85546875" style="53" customWidth="1"/>
    <col min="5" max="5" width="18.5703125" style="53" customWidth="1"/>
    <col min="6" max="6" width="19.7109375" style="53" customWidth="1"/>
    <col min="7" max="7" width="13.5703125" style="53" customWidth="1"/>
    <col min="8" max="8" width="14" style="53" bestFit="1" customWidth="1"/>
    <col min="9" max="9" width="9.140625" style="53"/>
    <col min="10" max="11" width="9.140625" style="53" customWidth="1"/>
    <col min="12" max="12" width="9.140625" style="53" hidden="1" customWidth="1"/>
    <col min="13" max="17" width="9.140625" style="53" customWidth="1"/>
    <col min="18" max="16384" width="9.140625" style="53"/>
  </cols>
  <sheetData>
    <row r="1" spans="1:8" ht="92.25" customHeight="1" thickBot="1">
      <c r="A1" s="967" t="s">
        <v>589</v>
      </c>
      <c r="B1" s="968"/>
      <c r="C1" s="968"/>
      <c r="D1" s="968"/>
      <c r="E1" s="968"/>
      <c r="F1" s="968"/>
      <c r="G1" s="968"/>
      <c r="H1" s="969"/>
    </row>
    <row r="2" spans="1:8" ht="20.25" customHeight="1">
      <c r="A2" s="622" t="s">
        <v>519</v>
      </c>
      <c r="B2" s="787">
        <v>43216</v>
      </c>
      <c r="C2" s="623"/>
      <c r="D2" s="623"/>
      <c r="E2" s="623"/>
      <c r="F2" s="623"/>
      <c r="G2" s="623"/>
      <c r="H2" s="623"/>
    </row>
    <row r="3" spans="1:8" ht="20.25" customHeight="1">
      <c r="A3" s="624" t="s">
        <v>520</v>
      </c>
      <c r="B3" s="788">
        <v>43217</v>
      </c>
      <c r="C3" s="623"/>
      <c r="D3" s="623"/>
      <c r="E3" s="623"/>
      <c r="F3" s="623"/>
      <c r="G3" s="623"/>
      <c r="H3" s="623"/>
    </row>
    <row r="4" spans="1:8" ht="20.25" customHeight="1">
      <c r="A4" s="624" t="s">
        <v>521</v>
      </c>
      <c r="B4" s="785" t="s">
        <v>667</v>
      </c>
      <c r="C4" s="623"/>
      <c r="D4" s="623"/>
      <c r="E4" s="623"/>
      <c r="F4" s="623"/>
      <c r="G4" s="623"/>
      <c r="H4" s="623"/>
    </row>
    <row r="5" spans="1:8" ht="15.75">
      <c r="A5" s="625"/>
      <c r="B5" s="623"/>
      <c r="C5" s="623"/>
      <c r="D5" s="623"/>
      <c r="E5" s="623"/>
      <c r="F5" s="623"/>
      <c r="G5" s="623"/>
      <c r="H5" s="623"/>
    </row>
    <row r="6" spans="1:8" ht="21" customHeight="1">
      <c r="A6" s="624" t="s">
        <v>522</v>
      </c>
      <c r="B6" s="976" t="s">
        <v>668</v>
      </c>
      <c r="C6" s="976"/>
      <c r="D6" s="976"/>
      <c r="E6" s="976"/>
      <c r="F6" s="976"/>
      <c r="G6" s="976"/>
      <c r="H6" s="976"/>
    </row>
    <row r="7" spans="1:8" ht="21" customHeight="1">
      <c r="A7" s="624" t="s">
        <v>523</v>
      </c>
      <c r="B7" s="976" t="s">
        <v>669</v>
      </c>
      <c r="C7" s="976"/>
      <c r="D7" s="976"/>
      <c r="E7" s="976"/>
      <c r="F7" s="976"/>
      <c r="G7" s="976"/>
      <c r="H7" s="976"/>
    </row>
    <row r="8" spans="1:8" ht="21" customHeight="1">
      <c r="A8" s="624" t="s">
        <v>524</v>
      </c>
      <c r="B8" s="966" t="s">
        <v>670</v>
      </c>
      <c r="C8" s="966"/>
      <c r="D8" s="966"/>
      <c r="E8" s="966"/>
      <c r="F8" s="966"/>
      <c r="G8" s="966"/>
      <c r="H8" s="966"/>
    </row>
    <row r="9" spans="1:8" ht="21" customHeight="1">
      <c r="A9" s="624" t="s">
        <v>205</v>
      </c>
      <c r="B9" s="966" t="s">
        <v>671</v>
      </c>
      <c r="C9" s="966"/>
      <c r="D9" s="966"/>
      <c r="E9" s="966"/>
      <c r="F9" s="966"/>
      <c r="G9" s="966"/>
      <c r="H9" s="966"/>
    </row>
    <row r="10" spans="1:8" ht="21" customHeight="1">
      <c r="A10" s="624" t="s">
        <v>525</v>
      </c>
      <c r="B10" s="966" t="s">
        <v>672</v>
      </c>
      <c r="C10" s="966"/>
      <c r="D10" s="966"/>
      <c r="E10" s="966"/>
      <c r="F10" s="966"/>
      <c r="G10" s="966"/>
      <c r="H10" s="966"/>
    </row>
    <row r="11" spans="1:8" ht="21" customHeight="1">
      <c r="A11" s="624" t="s">
        <v>375</v>
      </c>
      <c r="B11" s="966" t="s">
        <v>673</v>
      </c>
      <c r="C11" s="966"/>
      <c r="D11" s="966"/>
      <c r="E11" s="966"/>
      <c r="F11" s="966"/>
      <c r="G11" s="966"/>
      <c r="H11" s="966"/>
    </row>
    <row r="12" spans="1:8" ht="21" customHeight="1">
      <c r="A12" s="624" t="s">
        <v>151</v>
      </c>
      <c r="B12" s="966" t="s">
        <v>674</v>
      </c>
      <c r="C12" s="966"/>
      <c r="D12" s="966"/>
      <c r="E12" s="966"/>
      <c r="F12" s="966"/>
      <c r="G12" s="966"/>
      <c r="H12" s="966"/>
    </row>
    <row r="13" spans="1:8" ht="21" customHeight="1">
      <c r="A13" s="624" t="s">
        <v>188</v>
      </c>
      <c r="B13" s="966" t="s">
        <v>675</v>
      </c>
      <c r="C13" s="966"/>
      <c r="D13" s="966"/>
      <c r="E13" s="966"/>
      <c r="F13" s="966"/>
      <c r="G13" s="966"/>
      <c r="H13" s="966"/>
    </row>
    <row r="14" spans="1:8" ht="21" customHeight="1">
      <c r="A14" s="624" t="s">
        <v>328</v>
      </c>
      <c r="B14" s="966" t="s">
        <v>676</v>
      </c>
      <c r="C14" s="966"/>
      <c r="D14" s="966"/>
      <c r="E14" s="966"/>
      <c r="F14" s="966"/>
      <c r="G14" s="966"/>
      <c r="H14" s="966"/>
    </row>
    <row r="15" spans="1:8" ht="21" customHeight="1">
      <c r="A15" s="622" t="s">
        <v>315</v>
      </c>
      <c r="B15" s="784">
        <v>2013</v>
      </c>
      <c r="C15" s="777"/>
      <c r="D15" s="777"/>
      <c r="E15" s="777"/>
      <c r="F15" s="777"/>
      <c r="G15" s="777"/>
      <c r="H15" s="777"/>
    </row>
    <row r="16" spans="1:8" ht="21" customHeight="1">
      <c r="A16" s="624" t="s">
        <v>152</v>
      </c>
      <c r="B16" s="785" t="s">
        <v>677</v>
      </c>
      <c r="C16" s="777"/>
      <c r="D16" s="777"/>
      <c r="E16" s="777"/>
      <c r="F16" s="777"/>
      <c r="G16" s="777"/>
      <c r="H16" s="777"/>
    </row>
    <row r="17" spans="1:8" ht="21" customHeight="1">
      <c r="A17" s="624" t="s">
        <v>153</v>
      </c>
      <c r="B17" s="786" t="s">
        <v>678</v>
      </c>
      <c r="C17" s="777"/>
      <c r="D17" s="777"/>
      <c r="E17" s="777"/>
      <c r="F17" s="777"/>
      <c r="G17" s="777"/>
      <c r="H17" s="777"/>
    </row>
    <row r="18" spans="1:8" ht="21" customHeight="1">
      <c r="A18" s="624" t="s">
        <v>179</v>
      </c>
      <c r="B18" s="785">
        <v>150</v>
      </c>
      <c r="C18" s="777"/>
      <c r="D18" s="777"/>
      <c r="E18" s="777"/>
      <c r="F18" s="777"/>
      <c r="G18" s="777"/>
      <c r="H18" s="777"/>
    </row>
    <row r="19" spans="1:8" ht="21" customHeight="1">
      <c r="A19" s="624" t="s">
        <v>349</v>
      </c>
      <c r="B19" s="785"/>
      <c r="C19" s="777"/>
      <c r="D19" s="777"/>
      <c r="E19" s="777"/>
      <c r="F19" s="777"/>
      <c r="G19" s="777"/>
      <c r="H19" s="777"/>
    </row>
    <row r="20" spans="1:8">
      <c r="A20" s="623"/>
      <c r="B20" s="623"/>
      <c r="C20" s="623"/>
      <c r="D20" s="623"/>
      <c r="E20" s="623"/>
      <c r="F20" s="623"/>
      <c r="G20" s="623"/>
      <c r="H20" s="623"/>
    </row>
    <row r="21" spans="1:8" ht="15.75">
      <c r="A21" s="631" t="s">
        <v>506</v>
      </c>
      <c r="B21" s="631"/>
      <c r="C21" s="632"/>
      <c r="D21" s="632"/>
      <c r="E21" s="632"/>
      <c r="F21" s="632"/>
      <c r="G21" s="632"/>
      <c r="H21" s="633"/>
    </row>
    <row r="22" spans="1:8" ht="15.75">
      <c r="A22" s="917" t="s">
        <v>216</v>
      </c>
      <c r="B22" s="917"/>
      <c r="C22" s="634"/>
      <c r="D22" s="634"/>
      <c r="E22" s="632"/>
      <c r="F22" s="632"/>
      <c r="G22" s="632"/>
      <c r="H22" s="633"/>
    </row>
    <row r="23" spans="1:8" ht="15.75">
      <c r="A23" s="635"/>
      <c r="B23" s="635"/>
      <c r="C23" s="634"/>
      <c r="D23" s="634"/>
      <c r="E23" s="634"/>
      <c r="F23" s="623"/>
      <c r="G23" s="623"/>
      <c r="H23" s="623"/>
    </row>
    <row r="24" spans="1:8" ht="15.75">
      <c r="A24" s="636" t="s">
        <v>150</v>
      </c>
      <c r="B24" s="637" t="s">
        <v>46</v>
      </c>
      <c r="C24" s="634"/>
      <c r="D24" s="638" t="s">
        <v>330</v>
      </c>
      <c r="E24" s="639"/>
      <c r="F24" s="633"/>
      <c r="G24" s="623"/>
      <c r="H24" s="623"/>
    </row>
    <row r="25" spans="1:8">
      <c r="A25" s="640" t="s">
        <v>4</v>
      </c>
      <c r="B25" s="627" t="s">
        <v>292</v>
      </c>
      <c r="C25" s="632"/>
      <c r="D25" s="928" t="str">
        <f>IF(F28&lt;&gt;"Satisfatório","Adequar",IF(F29&lt;&gt;"Satisfatório","Adequar","Satisfatório"))</f>
        <v>Satisfatório</v>
      </c>
      <c r="E25" s="929"/>
      <c r="F25" s="633"/>
      <c r="G25" s="623"/>
      <c r="H25" s="623"/>
    </row>
    <row r="26" spans="1:8">
      <c r="A26" s="640" t="s">
        <v>5</v>
      </c>
      <c r="B26" s="627" t="s">
        <v>292</v>
      </c>
      <c r="C26" s="632"/>
      <c r="D26" s="642" t="s">
        <v>336</v>
      </c>
      <c r="E26" s="632"/>
      <c r="F26" s="633"/>
      <c r="G26" s="623"/>
      <c r="H26" s="623"/>
    </row>
    <row r="27" spans="1:8" ht="15.75">
      <c r="A27" s="640" t="s">
        <v>6</v>
      </c>
      <c r="B27" s="627" t="s">
        <v>292</v>
      </c>
      <c r="C27" s="623"/>
      <c r="D27" s="637" t="s">
        <v>11</v>
      </c>
      <c r="E27" s="637" t="s">
        <v>352</v>
      </c>
      <c r="F27" s="637" t="s">
        <v>354</v>
      </c>
      <c r="G27" s="623"/>
      <c r="H27" s="623"/>
    </row>
    <row r="28" spans="1:8">
      <c r="A28" s="640" t="s">
        <v>543</v>
      </c>
      <c r="B28" s="627" t="s">
        <v>292</v>
      </c>
      <c r="C28" s="643" t="s">
        <v>335</v>
      </c>
      <c r="D28" s="644" t="s">
        <v>12</v>
      </c>
      <c r="E28" s="628">
        <v>5</v>
      </c>
      <c r="F28" s="641" t="str">
        <f>IF(E28&gt;=1,"Satisfatório","Providenciar")</f>
        <v>Satisfatório</v>
      </c>
      <c r="G28" s="623"/>
      <c r="H28" s="623"/>
    </row>
    <row r="29" spans="1:8" ht="15.75" thickBot="1">
      <c r="A29" s="646" t="s">
        <v>544</v>
      </c>
      <c r="B29" s="629" t="s">
        <v>292</v>
      </c>
      <c r="C29" s="643" t="s">
        <v>335</v>
      </c>
      <c r="D29" s="644" t="s">
        <v>15</v>
      </c>
      <c r="E29" s="628">
        <v>2</v>
      </c>
      <c r="F29" s="641" t="str">
        <f>IF(E29&gt;=1,"Satisfatório","Providenciar")</f>
        <v>Satisfatório</v>
      </c>
      <c r="G29" s="623"/>
      <c r="H29" s="623"/>
    </row>
    <row r="30" spans="1:8" ht="15.75">
      <c r="A30" s="647" t="s">
        <v>546</v>
      </c>
      <c r="B30" s="648" t="s">
        <v>46</v>
      </c>
      <c r="C30" s="643"/>
      <c r="D30" s="644" t="s">
        <v>14</v>
      </c>
      <c r="E30" s="628" t="s">
        <v>346</v>
      </c>
      <c r="F30" s="645" t="s">
        <v>346</v>
      </c>
      <c r="G30" s="623"/>
      <c r="H30" s="623"/>
    </row>
    <row r="31" spans="1:8">
      <c r="A31" s="640" t="s">
        <v>7</v>
      </c>
      <c r="B31" s="627" t="s">
        <v>292</v>
      </c>
      <c r="C31" s="643"/>
      <c r="D31" s="644" t="s">
        <v>13</v>
      </c>
      <c r="E31" s="628" t="s">
        <v>346</v>
      </c>
      <c r="F31" s="645" t="s">
        <v>346</v>
      </c>
      <c r="G31" s="623"/>
      <c r="H31" s="623"/>
    </row>
    <row r="32" spans="1:8">
      <c r="A32" s="640" t="s">
        <v>8</v>
      </c>
      <c r="B32" s="627" t="s">
        <v>292</v>
      </c>
      <c r="C32" s="632"/>
      <c r="D32" s="644" t="s">
        <v>16</v>
      </c>
      <c r="E32" s="628">
        <v>7</v>
      </c>
      <c r="F32" s="645" t="s">
        <v>346</v>
      </c>
      <c r="G32" s="623"/>
      <c r="H32" s="623"/>
    </row>
    <row r="33" spans="1:8">
      <c r="A33" s="640" t="s">
        <v>231</v>
      </c>
      <c r="B33" s="627" t="s">
        <v>292</v>
      </c>
      <c r="C33" s="632"/>
      <c r="D33" s="644" t="s">
        <v>17</v>
      </c>
      <c r="E33" s="628" t="s">
        <v>346</v>
      </c>
      <c r="F33" s="645" t="s">
        <v>346</v>
      </c>
      <c r="G33" s="623"/>
      <c r="H33" s="623"/>
    </row>
    <row r="34" spans="1:8">
      <c r="A34" s="640" t="s">
        <v>545</v>
      </c>
      <c r="B34" s="627" t="s">
        <v>292</v>
      </c>
      <c r="C34" s="643"/>
      <c r="D34" s="644" t="s">
        <v>18</v>
      </c>
      <c r="E34" s="628" t="s">
        <v>346</v>
      </c>
      <c r="F34" s="645" t="s">
        <v>346</v>
      </c>
      <c r="G34" s="623"/>
      <c r="H34" s="623"/>
    </row>
    <row r="35" spans="1:8" ht="15.75" thickBot="1">
      <c r="A35" s="646" t="s">
        <v>239</v>
      </c>
      <c r="B35" s="629" t="s">
        <v>292</v>
      </c>
      <c r="C35" s="649"/>
      <c r="D35" s="644" t="s">
        <v>19</v>
      </c>
      <c r="E35" s="628" t="s">
        <v>346</v>
      </c>
      <c r="F35" s="645" t="s">
        <v>346</v>
      </c>
      <c r="G35" s="623"/>
      <c r="H35" s="623"/>
    </row>
    <row r="36" spans="1:8" ht="15.75">
      <c r="A36" s="647" t="s">
        <v>547</v>
      </c>
      <c r="B36" s="648" t="s">
        <v>46</v>
      </c>
      <c r="C36" s="649"/>
      <c r="D36" s="644" t="s">
        <v>20</v>
      </c>
      <c r="E36" s="628" t="s">
        <v>346</v>
      </c>
      <c r="F36" s="645" t="s">
        <v>346</v>
      </c>
      <c r="G36" s="623"/>
      <c r="H36" s="623"/>
    </row>
    <row r="37" spans="1:8" ht="15.75" thickBot="1">
      <c r="A37" s="650" t="s">
        <v>548</v>
      </c>
      <c r="B37" s="629" t="str">
        <f>IF(Capa!C14="Raios X Portátil","ok",IF(Capa!C14="Arco Cirúrgico","ok","N/A"))</f>
        <v>N/A</v>
      </c>
      <c r="C37" s="649"/>
      <c r="D37" s="644" t="s">
        <v>21</v>
      </c>
      <c r="E37" s="628" t="s">
        <v>346</v>
      </c>
      <c r="F37" s="645" t="s">
        <v>346</v>
      </c>
      <c r="G37" s="623"/>
      <c r="H37" s="623"/>
    </row>
    <row r="38" spans="1:8" ht="15.75">
      <c r="A38" s="647" t="s">
        <v>552</v>
      </c>
      <c r="B38" s="648" t="s">
        <v>46</v>
      </c>
      <c r="C38" s="649"/>
      <c r="D38" s="644" t="s">
        <v>284</v>
      </c>
      <c r="E38" s="628" t="s">
        <v>346</v>
      </c>
      <c r="F38" s="645" t="s">
        <v>346</v>
      </c>
      <c r="G38" s="623"/>
      <c r="H38" s="623"/>
    </row>
    <row r="39" spans="1:8">
      <c r="A39" s="651" t="s">
        <v>432</v>
      </c>
      <c r="B39" s="627" t="str">
        <f>IF(Capa!C14="Raios X Telecomandado","ok",IF(Capa!C14="Arco Cirúrgico","ok","N/A"))</f>
        <v>N/A</v>
      </c>
      <c r="C39" s="652"/>
      <c r="D39" s="623"/>
      <c r="E39" s="649"/>
      <c r="F39" s="632"/>
      <c r="G39" s="632"/>
      <c r="H39" s="633"/>
    </row>
    <row r="40" spans="1:8">
      <c r="A40" s="640" t="s">
        <v>549</v>
      </c>
      <c r="B40" s="627" t="str">
        <f>IF(Capa!C14="Raios X Telecomandado","ok",IF(Capa!C14="Arco Cirúrgico","ok","N/A"))</f>
        <v>N/A</v>
      </c>
      <c r="C40" s="652"/>
      <c r="D40" s="623"/>
      <c r="E40" s="649"/>
      <c r="F40" s="649"/>
      <c r="G40" s="649"/>
      <c r="H40" s="633"/>
    </row>
    <row r="41" spans="1:8">
      <c r="A41" s="640" t="s">
        <v>550</v>
      </c>
      <c r="B41" s="627" t="str">
        <f>IF(Capa!C14="Raios X Telecomandado","ok",IF(Capa!C14="Arco Cirúrgico","ok","N/A"))</f>
        <v>N/A</v>
      </c>
      <c r="C41" s="652"/>
      <c r="D41" s="623"/>
      <c r="E41" s="649"/>
      <c r="F41" s="649"/>
      <c r="G41" s="649"/>
      <c r="H41" s="633"/>
    </row>
    <row r="42" spans="1:8" ht="30">
      <c r="A42" s="653" t="s">
        <v>551</v>
      </c>
      <c r="B42" s="630" t="str">
        <f>IF(Capa!C14="Raios X Telecomandado","ok",IF(Capa!C14="Arco Cirúrgico","ok","N/A"))</f>
        <v>N/A</v>
      </c>
      <c r="C42" s="654"/>
      <c r="D42" s="623"/>
      <c r="E42" s="649"/>
      <c r="F42" s="649"/>
      <c r="G42" s="649"/>
      <c r="H42" s="633"/>
    </row>
    <row r="43" spans="1:8">
      <c r="A43" s="653" t="s">
        <v>553</v>
      </c>
      <c r="B43" s="627" t="str">
        <f>IF(Capa!C14="Raios X Telecomandado","ok",IF(Capa!C14="Arco Cirúrgico","ok","N/A"))</f>
        <v>N/A</v>
      </c>
      <c r="C43" s="632"/>
      <c r="D43" s="632"/>
      <c r="E43" s="632"/>
      <c r="F43" s="632"/>
      <c r="G43" s="632"/>
      <c r="H43" s="633"/>
    </row>
    <row r="44" spans="1:8">
      <c r="A44" s="653" t="s">
        <v>554</v>
      </c>
      <c r="B44" s="627" t="s">
        <v>556</v>
      </c>
      <c r="C44" s="632"/>
      <c r="D44" s="632"/>
      <c r="E44" s="632"/>
      <c r="F44" s="632"/>
      <c r="G44" s="632"/>
      <c r="H44" s="633"/>
    </row>
    <row r="45" spans="1:8">
      <c r="A45" s="653" t="s">
        <v>555</v>
      </c>
      <c r="B45" s="627" t="s">
        <v>556</v>
      </c>
      <c r="C45" s="632"/>
      <c r="D45" s="632"/>
      <c r="E45" s="632"/>
      <c r="F45" s="632"/>
      <c r="G45" s="632"/>
      <c r="H45" s="633"/>
    </row>
    <row r="46" spans="1:8">
      <c r="A46" s="623"/>
      <c r="B46" s="623"/>
      <c r="C46" s="632"/>
      <c r="D46" s="632"/>
      <c r="E46" s="632"/>
      <c r="F46" s="632"/>
      <c r="G46" s="632"/>
      <c r="H46" s="633"/>
    </row>
    <row r="47" spans="1:8">
      <c r="A47" s="623"/>
      <c r="B47" s="623"/>
      <c r="C47" s="632"/>
      <c r="D47" s="632"/>
      <c r="E47" s="632"/>
      <c r="F47" s="632"/>
      <c r="G47" s="632"/>
      <c r="H47" s="633"/>
    </row>
    <row r="48" spans="1:8">
      <c r="A48" s="623"/>
      <c r="B48" s="654"/>
      <c r="C48" s="632"/>
      <c r="D48" s="632"/>
      <c r="E48" s="632"/>
      <c r="F48" s="632"/>
      <c r="G48" s="632"/>
      <c r="H48" s="633"/>
    </row>
    <row r="49" spans="1:12">
      <c r="A49" s="632"/>
      <c r="B49" s="632"/>
      <c r="C49" s="632"/>
      <c r="D49" s="632"/>
      <c r="E49" s="632"/>
      <c r="F49" s="632"/>
      <c r="G49" s="632"/>
      <c r="H49" s="633"/>
    </row>
    <row r="50" spans="1:12" ht="15.75">
      <c r="A50" s="921" t="s">
        <v>656</v>
      </c>
      <c r="B50" s="921"/>
      <c r="C50" s="655"/>
      <c r="D50" s="655"/>
      <c r="E50" s="655"/>
      <c r="F50" s="655"/>
      <c r="G50" s="632"/>
      <c r="H50" s="633"/>
    </row>
    <row r="51" spans="1:12">
      <c r="A51" s="931" t="str">
        <f>IF(B31&lt;&gt;"ok","Adequar",IF(B25&lt;&gt;"ok","Adequar",IF(B32&lt;&gt;"ok","Adequar",IF(B33&lt;&gt;"ok","Adequar",IF(B34&lt;&gt;"ok","Adequar",IF(B35&lt;&gt;"ok","Adequar",IF(B26&lt;&gt;"ok","Adequar",IF(B27&lt;&gt;"ok","Adequar",IF(B29&lt;&gt;"ok","Adequar",IF(B28&lt;&gt;"ok","Adequar","Satisfatório"))))))))))</f>
        <v>Satisfatório</v>
      </c>
      <c r="B51" s="932"/>
      <c r="C51" s="655"/>
      <c r="D51" s="655"/>
      <c r="E51" s="655"/>
      <c r="F51" s="655"/>
      <c r="G51" s="632"/>
      <c r="H51" s="633"/>
    </row>
    <row r="52" spans="1:12">
      <c r="A52" s="623"/>
      <c r="B52" s="623"/>
      <c r="C52" s="623"/>
      <c r="D52" s="623"/>
      <c r="E52" s="623"/>
      <c r="F52" s="623"/>
      <c r="G52" s="623"/>
      <c r="H52" s="623"/>
      <c r="L52" s="53" t="s">
        <v>527</v>
      </c>
    </row>
    <row r="53" spans="1:12" ht="15.75">
      <c r="A53" s="930" t="s">
        <v>217</v>
      </c>
      <c r="B53" s="930"/>
      <c r="C53" s="930"/>
      <c r="D53" s="930"/>
      <c r="E53" s="930"/>
      <c r="F53" s="930"/>
      <c r="G53" s="930"/>
      <c r="H53" s="623"/>
      <c r="L53" s="53" t="s">
        <v>528</v>
      </c>
    </row>
    <row r="54" spans="1:12" ht="15.75">
      <c r="A54" s="656" t="s">
        <v>526</v>
      </c>
      <c r="B54" s="658" t="s">
        <v>529</v>
      </c>
      <c r="C54" s="656" t="s">
        <v>530</v>
      </c>
      <c r="D54" s="626"/>
      <c r="E54" s="656"/>
      <c r="F54" s="656"/>
      <c r="G54" s="656"/>
      <c r="H54" s="623"/>
      <c r="L54" s="53" t="s">
        <v>529</v>
      </c>
    </row>
    <row r="55" spans="1:12">
      <c r="A55" s="920" t="str">
        <f>CONCATENATE("Sistema de processamento ",B54," ",D54)</f>
        <v xml:space="preserve">Sistema de processamento Digital (DR) </v>
      </c>
      <c r="B55" s="920"/>
      <c r="C55" s="920"/>
      <c r="D55" s="920"/>
      <c r="E55" s="920"/>
      <c r="F55" s="920"/>
      <c r="G55" s="920"/>
      <c r="H55" s="623"/>
    </row>
    <row r="56" spans="1:12" ht="15.75" thickBot="1">
      <c r="A56" s="657"/>
      <c r="B56" s="657"/>
      <c r="C56" s="657"/>
      <c r="D56" s="657"/>
      <c r="E56" s="657"/>
      <c r="F56" s="657"/>
      <c r="G56" s="657"/>
      <c r="H56" s="623"/>
    </row>
    <row r="57" spans="1:12" ht="15.75" customHeight="1">
      <c r="A57" s="659" t="s">
        <v>22</v>
      </c>
      <c r="B57" s="668"/>
      <c r="C57" s="662" t="s">
        <v>128</v>
      </c>
      <c r="D57" s="662" t="s">
        <v>50</v>
      </c>
      <c r="E57" s="666" t="s">
        <v>353</v>
      </c>
      <c r="F57" s="922" t="s">
        <v>539</v>
      </c>
      <c r="G57" s="923"/>
      <c r="H57" s="623"/>
    </row>
    <row r="58" spans="1:12" ht="15.75">
      <c r="A58" s="660" t="s">
        <v>0</v>
      </c>
      <c r="B58" s="627"/>
      <c r="C58" s="663" t="s">
        <v>238</v>
      </c>
      <c r="D58" s="644" t="s">
        <v>22</v>
      </c>
      <c r="E58" s="667">
        <f>D54</f>
        <v>0</v>
      </c>
      <c r="F58" s="924"/>
      <c r="G58" s="925"/>
      <c r="H58" s="623"/>
    </row>
    <row r="59" spans="1:12" ht="15.75">
      <c r="A59" s="660" t="s">
        <v>234</v>
      </c>
      <c r="B59" s="672"/>
      <c r="C59" s="635" t="s">
        <v>226</v>
      </c>
      <c r="D59" s="644" t="s">
        <v>23</v>
      </c>
      <c r="E59" s="670" t="s">
        <v>292</v>
      </c>
      <c r="F59" s="924"/>
      <c r="G59" s="925"/>
      <c r="H59" s="623"/>
    </row>
    <row r="60" spans="1:12" ht="15.75">
      <c r="A60" s="660" t="s">
        <v>235</v>
      </c>
      <c r="B60" s="672"/>
      <c r="C60" s="663" t="s">
        <v>227</v>
      </c>
      <c r="D60" s="644" t="s">
        <v>24</v>
      </c>
      <c r="E60" s="670" t="s">
        <v>292</v>
      </c>
      <c r="F60" s="924"/>
      <c r="G60" s="925"/>
      <c r="H60" s="623"/>
    </row>
    <row r="61" spans="1:12" ht="15.75">
      <c r="A61" s="660" t="s">
        <v>236</v>
      </c>
      <c r="B61" s="672"/>
      <c r="C61" s="663" t="s">
        <v>228</v>
      </c>
      <c r="D61" s="644" t="s">
        <v>25</v>
      </c>
      <c r="E61" s="670" t="s">
        <v>292</v>
      </c>
      <c r="F61" s="924"/>
      <c r="G61" s="925"/>
      <c r="H61" s="623"/>
    </row>
    <row r="62" spans="1:12" ht="15.75">
      <c r="A62" s="660" t="s">
        <v>129</v>
      </c>
      <c r="B62" s="669" t="e">
        <f>AVERAGE(B59:B61)</f>
        <v>#DIV/0!</v>
      </c>
      <c r="C62" s="635"/>
      <c r="D62" s="644" t="s">
        <v>26</v>
      </c>
      <c r="E62" s="670" t="s">
        <v>292</v>
      </c>
      <c r="F62" s="924"/>
      <c r="G62" s="925"/>
      <c r="H62" s="623"/>
    </row>
    <row r="63" spans="1:12" ht="15.75">
      <c r="A63" s="660" t="s">
        <v>237</v>
      </c>
      <c r="B63" s="669">
        <f>B61-B59</f>
        <v>0</v>
      </c>
      <c r="C63" s="663" t="s">
        <v>229</v>
      </c>
      <c r="D63" s="644" t="s">
        <v>27</v>
      </c>
      <c r="E63" s="670" t="s">
        <v>292</v>
      </c>
      <c r="F63" s="924"/>
      <c r="G63" s="925"/>
      <c r="H63" s="623"/>
    </row>
    <row r="64" spans="1:12" ht="15" customHeight="1">
      <c r="A64" s="660" t="s">
        <v>33</v>
      </c>
      <c r="B64" s="673"/>
      <c r="C64" s="634"/>
      <c r="D64" s="644" t="s">
        <v>28</v>
      </c>
      <c r="E64" s="670" t="s">
        <v>292</v>
      </c>
      <c r="F64" s="924"/>
      <c r="G64" s="925"/>
      <c r="H64" s="623"/>
    </row>
    <row r="65" spans="1:8" ht="15" customHeight="1">
      <c r="A65" s="660" t="s">
        <v>34</v>
      </c>
      <c r="B65" s="673"/>
      <c r="C65" s="634"/>
      <c r="D65" s="644" t="s">
        <v>29</v>
      </c>
      <c r="E65" s="670" t="s">
        <v>292</v>
      </c>
      <c r="F65" s="924"/>
      <c r="G65" s="925"/>
      <c r="H65" s="623"/>
    </row>
    <row r="66" spans="1:8" ht="16.5" thickBot="1">
      <c r="A66" s="661" t="s">
        <v>35</v>
      </c>
      <c r="B66" s="674"/>
      <c r="C66" s="664" t="s">
        <v>230</v>
      </c>
      <c r="D66" s="665" t="s">
        <v>9</v>
      </c>
      <c r="E66" s="671"/>
      <c r="F66" s="926"/>
      <c r="G66" s="927"/>
      <c r="H66" s="623"/>
    </row>
    <row r="67" spans="1:8">
      <c r="A67" s="632"/>
      <c r="B67" s="632"/>
      <c r="C67" s="632"/>
      <c r="D67" s="632"/>
      <c r="E67" s="632"/>
      <c r="F67" s="632"/>
      <c r="G67" s="634"/>
      <c r="H67" s="623"/>
    </row>
    <row r="68" spans="1:8" ht="15.75">
      <c r="A68" s="921" t="s">
        <v>10</v>
      </c>
      <c r="B68" s="921"/>
      <c r="C68" s="655"/>
      <c r="D68" s="655"/>
      <c r="E68" s="655"/>
      <c r="F68" s="655"/>
      <c r="G68" s="632"/>
      <c r="H68" s="623"/>
    </row>
    <row r="69" spans="1:8">
      <c r="A69" s="918" t="str">
        <f>IF(E65&lt;&gt;"ok","Adequar",IF(E61&lt;&gt;"ok","Adequar",IF(E62&lt;&gt;"ok","Adequar",IF(E63&lt;&gt;"ok","Adequar",IF(E64&lt;&gt;"ok","Adequar",IF(E59&lt;&gt;"ok","Adequar",IF(E59&lt;&gt;"ok","Adequar","Satisfatório")))))))</f>
        <v>Satisfatório</v>
      </c>
      <c r="B69" s="919"/>
      <c r="C69" s="655"/>
      <c r="D69" s="655"/>
      <c r="E69" s="655"/>
      <c r="F69" s="675"/>
      <c r="G69" s="632"/>
      <c r="H69" s="623"/>
    </row>
    <row r="70" spans="1:8">
      <c r="A70" s="676"/>
      <c r="B70" s="677"/>
      <c r="C70" s="655"/>
      <c r="D70" s="655"/>
      <c r="E70" s="655"/>
      <c r="F70" s="675"/>
      <c r="G70" s="632"/>
      <c r="H70" s="623"/>
    </row>
    <row r="71" spans="1:8" ht="18.75" thickBot="1">
      <c r="A71" s="972" t="s">
        <v>218</v>
      </c>
      <c r="B71" s="972"/>
      <c r="C71" s="972"/>
      <c r="D71" s="972"/>
      <c r="E71" s="972"/>
      <c r="F71" s="972"/>
      <c r="G71" s="972"/>
      <c r="H71" s="623"/>
    </row>
    <row r="72" spans="1:8" ht="15.75" customHeight="1">
      <c r="A72" s="678" t="s">
        <v>233</v>
      </c>
      <c r="B72" s="668"/>
      <c r="C72" s="668"/>
      <c r="D72" s="668"/>
      <c r="E72" s="668"/>
      <c r="F72" s="922" t="s">
        <v>539</v>
      </c>
      <c r="G72" s="923"/>
      <c r="H72" s="623"/>
    </row>
    <row r="73" spans="1:8" ht="15" customHeight="1">
      <c r="A73" s="679" t="s">
        <v>130</v>
      </c>
      <c r="B73" s="641" t="s">
        <v>131</v>
      </c>
      <c r="C73" s="641" t="s">
        <v>132</v>
      </c>
      <c r="D73" s="634"/>
      <c r="E73" s="634"/>
      <c r="F73" s="924"/>
      <c r="G73" s="925"/>
      <c r="H73" s="623"/>
    </row>
    <row r="74" spans="1:8" ht="15" customHeight="1">
      <c r="A74" s="679" t="s">
        <v>232</v>
      </c>
      <c r="B74" s="627"/>
      <c r="C74" s="627"/>
      <c r="D74" s="634"/>
      <c r="E74" s="634"/>
      <c r="F74" s="924"/>
      <c r="G74" s="925"/>
      <c r="H74" s="623"/>
    </row>
    <row r="75" spans="1:8" ht="15" customHeight="1">
      <c r="A75" s="679" t="s">
        <v>182</v>
      </c>
      <c r="B75" s="627"/>
      <c r="C75" s="627"/>
      <c r="D75" s="634"/>
      <c r="E75" s="634"/>
      <c r="F75" s="924"/>
      <c r="G75" s="925"/>
      <c r="H75" s="623"/>
    </row>
    <row r="76" spans="1:8" ht="15" customHeight="1">
      <c r="A76" s="679" t="s">
        <v>183</v>
      </c>
      <c r="B76" s="627"/>
      <c r="C76" s="627"/>
      <c r="D76" s="634"/>
      <c r="E76" s="634"/>
      <c r="F76" s="924"/>
      <c r="G76" s="925"/>
      <c r="H76" s="623"/>
    </row>
    <row r="77" spans="1:8" ht="15" customHeight="1">
      <c r="A77" s="679" t="s">
        <v>184</v>
      </c>
      <c r="B77" s="627"/>
      <c r="C77" s="627"/>
      <c r="D77" s="634"/>
      <c r="E77" s="634"/>
      <c r="F77" s="924"/>
      <c r="G77" s="925"/>
      <c r="H77" s="623"/>
    </row>
    <row r="78" spans="1:8" ht="15.75">
      <c r="A78" s="679" t="s">
        <v>185</v>
      </c>
      <c r="B78" s="627"/>
      <c r="C78" s="627"/>
      <c r="D78" s="638" t="s">
        <v>331</v>
      </c>
      <c r="E78" s="639"/>
      <c r="F78" s="924"/>
      <c r="G78" s="925"/>
      <c r="H78" s="623"/>
    </row>
    <row r="79" spans="1:8" ht="15" customHeight="1" thickBot="1">
      <c r="A79" s="680" t="s">
        <v>186</v>
      </c>
      <c r="B79" s="629"/>
      <c r="C79" s="629"/>
      <c r="D79" s="973" t="s">
        <v>200</v>
      </c>
      <c r="E79" s="974"/>
      <c r="F79" s="926"/>
      <c r="G79" s="927"/>
      <c r="H79" s="623"/>
    </row>
    <row r="80" spans="1:8" ht="15" customHeight="1">
      <c r="A80" s="623"/>
      <c r="B80" s="623"/>
      <c r="C80" s="623"/>
      <c r="D80" s="623"/>
      <c r="E80" s="623"/>
      <c r="F80" s="681"/>
      <c r="G80" s="623"/>
      <c r="H80" s="623"/>
    </row>
    <row r="81" spans="1:12" ht="15.75">
      <c r="A81" s="682" t="s">
        <v>224</v>
      </c>
      <c r="B81" s="682"/>
      <c r="C81" s="682"/>
      <c r="D81" s="682"/>
      <c r="E81" s="632"/>
      <c r="F81" s="681"/>
      <c r="G81" s="623"/>
      <c r="H81" s="623"/>
    </row>
    <row r="82" spans="1:12" ht="15.75">
      <c r="A82" s="635"/>
      <c r="B82" s="682"/>
      <c r="C82" s="682"/>
      <c r="D82" s="682"/>
      <c r="E82" s="682"/>
      <c r="F82" s="623"/>
      <c r="G82" s="623"/>
      <c r="H82" s="623"/>
      <c r="L82" s="53" t="s">
        <v>585</v>
      </c>
    </row>
    <row r="83" spans="1:12" ht="15.75">
      <c r="A83" s="635" t="s">
        <v>560</v>
      </c>
      <c r="B83" s="658" t="s">
        <v>585</v>
      </c>
      <c r="C83" s="682"/>
      <c r="D83" s="682"/>
      <c r="E83" s="682"/>
      <c r="F83" s="623"/>
      <c r="G83" s="623"/>
      <c r="H83" s="623"/>
      <c r="L83" s="53" t="s">
        <v>586</v>
      </c>
    </row>
    <row r="84" spans="1:12" ht="15.75">
      <c r="A84" s="658" t="s">
        <v>474</v>
      </c>
      <c r="B84" s="688">
        <v>100</v>
      </c>
      <c r="C84" s="462"/>
      <c r="D84" s="462"/>
      <c r="E84" s="462"/>
      <c r="F84" s="623"/>
      <c r="G84" s="623"/>
      <c r="H84" s="623"/>
      <c r="L84" s="53" t="s">
        <v>587</v>
      </c>
    </row>
    <row r="85" spans="1:12" ht="15.75">
      <c r="A85" s="648" t="s">
        <v>53</v>
      </c>
      <c r="B85" s="689">
        <v>50</v>
      </c>
      <c r="C85" s="689">
        <v>60</v>
      </c>
      <c r="D85" s="689">
        <v>70</v>
      </c>
      <c r="E85" s="689">
        <v>80</v>
      </c>
      <c r="F85" s="623"/>
      <c r="G85" s="623"/>
      <c r="H85" s="623"/>
    </row>
    <row r="86" spans="1:12">
      <c r="A86" s="683" t="s">
        <v>58</v>
      </c>
      <c r="B86" s="673">
        <v>49.2</v>
      </c>
      <c r="C86" s="673">
        <v>59.2</v>
      </c>
      <c r="D86" s="673">
        <v>69</v>
      </c>
      <c r="E86" s="673">
        <v>79.900000000000006</v>
      </c>
      <c r="F86" s="623"/>
      <c r="G86" s="623"/>
      <c r="H86" s="623"/>
    </row>
    <row r="87" spans="1:12">
      <c r="A87" s="683" t="s">
        <v>59</v>
      </c>
      <c r="B87" s="673">
        <v>49.1</v>
      </c>
      <c r="C87" s="673">
        <v>59.1</v>
      </c>
      <c r="D87" s="673">
        <v>69.099999999999994</v>
      </c>
      <c r="E87" s="673">
        <v>79.8</v>
      </c>
      <c r="F87" s="623"/>
      <c r="G87" s="623"/>
      <c r="H87" s="623"/>
      <c r="L87" s="53" t="s">
        <v>189</v>
      </c>
    </row>
    <row r="88" spans="1:12">
      <c r="A88" s="683" t="s">
        <v>60</v>
      </c>
      <c r="B88" s="14"/>
      <c r="C88" s="15"/>
      <c r="D88" s="15"/>
      <c r="E88" s="15"/>
      <c r="F88" s="623"/>
      <c r="G88" s="623"/>
      <c r="H88" s="623"/>
      <c r="L88" s="53" t="s">
        <v>2</v>
      </c>
    </row>
    <row r="89" spans="1:12">
      <c r="A89" s="683" t="s">
        <v>61</v>
      </c>
      <c r="B89" s="14"/>
      <c r="C89" s="14"/>
      <c r="D89" s="14"/>
      <c r="E89" s="14"/>
      <c r="F89" s="623"/>
      <c r="G89" s="623"/>
      <c r="H89" s="623"/>
    </row>
    <row r="90" spans="1:12" ht="15.75">
      <c r="A90" s="635"/>
      <c r="B90" s="635"/>
      <c r="C90" s="635"/>
      <c r="D90" s="635"/>
      <c r="E90" s="635"/>
      <c r="F90" s="623"/>
      <c r="G90" s="623"/>
      <c r="H90" s="623"/>
    </row>
    <row r="91" spans="1:12" ht="15.75">
      <c r="A91" s="656" t="str">
        <f>A84</f>
        <v>mA:</v>
      </c>
      <c r="B91" s="689">
        <v>200</v>
      </c>
      <c r="C91" s="635" t="s">
        <v>560</v>
      </c>
      <c r="D91" s="658" t="s">
        <v>586</v>
      </c>
      <c r="E91" s="632"/>
      <c r="F91" s="623"/>
      <c r="G91" s="623"/>
      <c r="H91" s="623"/>
    </row>
    <row r="92" spans="1:12" ht="15.75">
      <c r="A92" s="637" t="s">
        <v>53</v>
      </c>
      <c r="B92" s="690">
        <f>B85</f>
        <v>50</v>
      </c>
      <c r="C92" s="690">
        <f>C85</f>
        <v>60</v>
      </c>
      <c r="D92" s="690">
        <f>D85</f>
        <v>70</v>
      </c>
      <c r="E92" s="690">
        <f>E85</f>
        <v>80</v>
      </c>
      <c r="F92" s="623"/>
      <c r="G92" s="623"/>
      <c r="H92" s="623"/>
    </row>
    <row r="93" spans="1:12">
      <c r="A93" s="684" t="s">
        <v>58</v>
      </c>
      <c r="B93" s="673">
        <v>48.8</v>
      </c>
      <c r="C93" s="673">
        <v>59.3</v>
      </c>
      <c r="D93" s="673">
        <v>69.099999999999994</v>
      </c>
      <c r="E93" s="673">
        <v>79</v>
      </c>
      <c r="F93" s="623"/>
      <c r="G93" s="632"/>
      <c r="H93" s="623"/>
    </row>
    <row r="94" spans="1:12">
      <c r="A94" s="683" t="s">
        <v>59</v>
      </c>
      <c r="B94" s="673">
        <v>49.6</v>
      </c>
      <c r="C94" s="673">
        <v>59.2</v>
      </c>
      <c r="D94" s="673">
        <v>69.2</v>
      </c>
      <c r="E94" s="673">
        <v>79.099999999999994</v>
      </c>
      <c r="F94" s="623"/>
      <c r="G94" s="623"/>
      <c r="H94" s="623"/>
    </row>
    <row r="95" spans="1:12">
      <c r="A95" s="683" t="s">
        <v>60</v>
      </c>
      <c r="B95" s="14"/>
      <c r="C95" s="15"/>
      <c r="D95" s="15"/>
      <c r="E95" s="15"/>
      <c r="F95" s="623"/>
      <c r="G95" s="623"/>
      <c r="H95" s="623"/>
    </row>
    <row r="96" spans="1:12">
      <c r="A96" s="683" t="s">
        <v>61</v>
      </c>
      <c r="B96" s="14"/>
      <c r="C96" s="14"/>
      <c r="D96" s="14"/>
      <c r="E96" s="14"/>
      <c r="F96" s="623"/>
      <c r="G96" s="623"/>
      <c r="H96" s="623"/>
    </row>
    <row r="97" spans="1:8" ht="15.75">
      <c r="A97" s="635"/>
      <c r="B97" s="635"/>
      <c r="C97" s="635"/>
      <c r="D97" s="635"/>
      <c r="E97" s="635"/>
      <c r="F97" s="623"/>
      <c r="G97" s="623"/>
      <c r="H97" s="623"/>
    </row>
    <row r="98" spans="1:8" ht="15.75">
      <c r="A98" s="656" t="str">
        <f>A84</f>
        <v>mA:</v>
      </c>
      <c r="B98" s="689">
        <v>320</v>
      </c>
      <c r="C98" s="635" t="s">
        <v>560</v>
      </c>
      <c r="D98" s="658" t="s">
        <v>586</v>
      </c>
      <c r="E98" s="632"/>
      <c r="F98" s="623"/>
      <c r="G98" s="623"/>
      <c r="H98" s="623"/>
    </row>
    <row r="99" spans="1:8" ht="15.75">
      <c r="A99" s="637" t="s">
        <v>53</v>
      </c>
      <c r="B99" s="690">
        <f>B85</f>
        <v>50</v>
      </c>
      <c r="C99" s="690">
        <f>C85</f>
        <v>60</v>
      </c>
      <c r="D99" s="690">
        <f>D85</f>
        <v>70</v>
      </c>
      <c r="E99" s="690">
        <f>E85</f>
        <v>80</v>
      </c>
      <c r="F99" s="623"/>
      <c r="G99" s="623"/>
      <c r="H99" s="623"/>
    </row>
    <row r="100" spans="1:8">
      <c r="A100" s="684" t="s">
        <v>58</v>
      </c>
      <c r="B100" s="673">
        <v>50.5</v>
      </c>
      <c r="C100" s="673">
        <v>60</v>
      </c>
      <c r="D100" s="673">
        <v>69.5</v>
      </c>
      <c r="E100" s="673">
        <v>79</v>
      </c>
      <c r="F100" s="623"/>
      <c r="G100" s="623"/>
      <c r="H100" s="623"/>
    </row>
    <row r="101" spans="1:8">
      <c r="A101" s="683" t="s">
        <v>59</v>
      </c>
      <c r="B101" s="673">
        <v>50.3</v>
      </c>
      <c r="C101" s="673">
        <v>60.1</v>
      </c>
      <c r="D101" s="673">
        <v>69.400000000000006</v>
      </c>
      <c r="E101" s="673">
        <v>79</v>
      </c>
      <c r="F101" s="623"/>
      <c r="G101" s="623"/>
      <c r="H101" s="623"/>
    </row>
    <row r="102" spans="1:8">
      <c r="A102" s="683" t="s">
        <v>60</v>
      </c>
      <c r="B102" s="15"/>
      <c r="C102" s="15"/>
      <c r="D102" s="15"/>
      <c r="E102" s="15"/>
      <c r="F102" s="623"/>
      <c r="G102" s="623"/>
      <c r="H102" s="623"/>
    </row>
    <row r="103" spans="1:8">
      <c r="A103" s="683" t="s">
        <v>61</v>
      </c>
      <c r="B103" s="476"/>
      <c r="C103" s="476"/>
      <c r="D103" s="476"/>
      <c r="E103" s="476"/>
      <c r="F103" s="623"/>
      <c r="G103" s="623"/>
      <c r="H103" s="623"/>
    </row>
    <row r="104" spans="1:8">
      <c r="A104" s="623"/>
      <c r="B104" s="623"/>
      <c r="C104" s="623"/>
      <c r="D104" s="623"/>
      <c r="E104" s="623"/>
      <c r="F104" s="623"/>
      <c r="G104" s="623"/>
      <c r="H104" s="623"/>
    </row>
    <row r="105" spans="1:8" ht="15.75">
      <c r="A105" s="682" t="s">
        <v>507</v>
      </c>
      <c r="B105" s="635"/>
      <c r="C105" s="635"/>
      <c r="D105" s="635"/>
      <c r="E105" s="623"/>
      <c r="F105" s="623"/>
      <c r="G105" s="623"/>
      <c r="H105" s="623"/>
    </row>
    <row r="106" spans="1:8">
      <c r="A106" s="685"/>
      <c r="B106" s="633"/>
      <c r="C106" s="633"/>
      <c r="D106" s="649"/>
      <c r="E106" s="623"/>
      <c r="F106" s="623"/>
      <c r="G106" s="623"/>
      <c r="H106" s="623"/>
    </row>
    <row r="107" spans="1:8" ht="15.75">
      <c r="A107" s="686" t="s">
        <v>475</v>
      </c>
      <c r="B107" s="627">
        <v>80</v>
      </c>
      <c r="C107" s="656" t="str">
        <f>IF(D107="","","mA:")</f>
        <v/>
      </c>
      <c r="D107" s="692"/>
      <c r="E107" s="693"/>
      <c r="F107" s="623"/>
      <c r="G107" s="623"/>
      <c r="H107" s="623"/>
    </row>
    <row r="108" spans="1:8" ht="15.75">
      <c r="A108" s="637" t="s">
        <v>62</v>
      </c>
      <c r="B108" s="626">
        <v>10</v>
      </c>
      <c r="C108" s="626">
        <v>20</v>
      </c>
      <c r="D108" s="626">
        <v>40</v>
      </c>
      <c r="E108" s="623"/>
      <c r="F108" s="623"/>
      <c r="G108" s="623"/>
      <c r="H108" s="623"/>
    </row>
    <row r="109" spans="1:8">
      <c r="A109" s="683" t="s">
        <v>65</v>
      </c>
      <c r="B109" s="672">
        <v>84.27</v>
      </c>
      <c r="C109" s="672">
        <v>167.1</v>
      </c>
      <c r="D109" s="672">
        <v>323.89999999999998</v>
      </c>
      <c r="E109" s="623"/>
      <c r="F109" s="623"/>
      <c r="G109" s="623"/>
      <c r="H109" s="623"/>
    </row>
    <row r="110" spans="1:8">
      <c r="A110" s="683" t="s">
        <v>66</v>
      </c>
      <c r="B110" s="672">
        <v>85.01</v>
      </c>
      <c r="C110" s="672">
        <v>167.2</v>
      </c>
      <c r="D110" s="672">
        <v>323.8</v>
      </c>
      <c r="E110" s="623"/>
      <c r="F110" s="623"/>
      <c r="G110" s="623"/>
      <c r="H110" s="623"/>
    </row>
    <row r="111" spans="1:8">
      <c r="A111" s="683" t="s">
        <v>67</v>
      </c>
      <c r="B111" s="30"/>
      <c r="C111" s="15"/>
      <c r="D111" s="15"/>
      <c r="E111" s="623"/>
      <c r="F111" s="623"/>
      <c r="G111" s="623"/>
      <c r="H111" s="623"/>
    </row>
    <row r="112" spans="1:8">
      <c r="A112" s="683" t="s">
        <v>68</v>
      </c>
      <c r="B112" s="30"/>
      <c r="C112" s="14"/>
      <c r="D112" s="14"/>
      <c r="E112" s="623"/>
      <c r="F112" s="623"/>
      <c r="G112" s="623"/>
      <c r="H112" s="623"/>
    </row>
    <row r="113" spans="1:15">
      <c r="A113" s="623"/>
      <c r="B113" s="623"/>
      <c r="C113" s="623"/>
      <c r="D113" s="623"/>
      <c r="E113" s="623"/>
      <c r="F113" s="623"/>
      <c r="G113" s="623"/>
      <c r="H113" s="623"/>
    </row>
    <row r="114" spans="1:15" ht="15.75">
      <c r="A114" s="682" t="s">
        <v>505</v>
      </c>
      <c r="B114" s="691"/>
      <c r="C114" s="687"/>
      <c r="D114" s="687"/>
      <c r="E114" s="687"/>
      <c r="F114" s="687"/>
      <c r="G114" s="687"/>
      <c r="H114" s="623"/>
    </row>
    <row r="115" spans="1:15" ht="16.5" thickBot="1">
      <c r="A115" s="633"/>
      <c r="B115" s="633"/>
      <c r="C115" s="633"/>
      <c r="D115" s="623"/>
      <c r="E115" s="637" t="str">
        <f>CONCATENATE("Ref. ",YEAR(Capa!C4)-1)</f>
        <v>Ref. 2017</v>
      </c>
      <c r="F115" s="623"/>
      <c r="G115" s="623"/>
      <c r="H115" s="623"/>
    </row>
    <row r="116" spans="1:15" ht="21.75" customHeight="1" thickBot="1">
      <c r="A116" s="954" t="s">
        <v>70</v>
      </c>
      <c r="B116" s="955"/>
      <c r="C116" s="870">
        <f>Tubo!D12</f>
        <v>70.923150000000007</v>
      </c>
      <c r="D116" s="623"/>
      <c r="E116" s="630">
        <v>3.65</v>
      </c>
      <c r="F116" s="623"/>
      <c r="G116" s="623"/>
      <c r="H116" s="623"/>
    </row>
    <row r="117" spans="1:15">
      <c r="A117" s="623"/>
      <c r="B117" s="623"/>
      <c r="C117" s="623"/>
      <c r="D117" s="623"/>
      <c r="E117" s="623"/>
      <c r="F117" s="623"/>
      <c r="G117" s="623"/>
      <c r="H117" s="623"/>
    </row>
    <row r="118" spans="1:15" ht="15.75">
      <c r="A118" s="682" t="s">
        <v>508</v>
      </c>
      <c r="B118" s="633"/>
      <c r="C118" s="633"/>
      <c r="D118" s="687"/>
      <c r="E118" s="687"/>
      <c r="F118" s="687"/>
      <c r="G118" s="623"/>
      <c r="H118" s="687"/>
      <c r="I118" s="11"/>
      <c r="J118" s="88"/>
      <c r="K118" s="88"/>
      <c r="L118" s="11"/>
      <c r="M118" s="6"/>
      <c r="N118" s="6"/>
      <c r="O118" s="11"/>
    </row>
    <row r="119" spans="1:15">
      <c r="A119" s="633"/>
      <c r="B119" s="633"/>
      <c r="C119" s="633"/>
      <c r="D119" s="687"/>
      <c r="E119" s="687"/>
      <c r="F119" s="623"/>
      <c r="G119" s="623"/>
      <c r="H119" s="687"/>
      <c r="I119" s="11"/>
      <c r="J119" s="88"/>
      <c r="K119" s="88"/>
      <c r="L119" s="11"/>
      <c r="M119" s="6"/>
      <c r="N119" s="6"/>
      <c r="O119" s="11"/>
    </row>
    <row r="120" spans="1:15" ht="15.75">
      <c r="A120" s="656" t="s">
        <v>1</v>
      </c>
      <c r="B120" s="627">
        <v>60</v>
      </c>
      <c r="C120" s="633"/>
      <c r="D120" s="633"/>
      <c r="E120" s="633"/>
      <c r="F120" s="623"/>
      <c r="G120" s="623"/>
      <c r="H120" s="633"/>
      <c r="J120" s="6"/>
      <c r="K120" s="6"/>
      <c r="L120" s="452"/>
      <c r="M120" s="6"/>
      <c r="N120" s="6"/>
      <c r="O120" s="6"/>
    </row>
    <row r="121" spans="1:15" ht="15.75">
      <c r="A121" s="637" t="s">
        <v>112</v>
      </c>
      <c r="B121" s="726">
        <v>50</v>
      </c>
      <c r="C121" s="726">
        <v>100</v>
      </c>
      <c r="D121" s="726">
        <v>160</v>
      </c>
      <c r="E121" s="726">
        <v>200</v>
      </c>
      <c r="F121" s="727">
        <v>250</v>
      </c>
      <c r="G121" s="727">
        <v>320</v>
      </c>
      <c r="H121" s="623"/>
      <c r="I121" s="93"/>
      <c r="J121" s="459"/>
      <c r="K121" s="93"/>
      <c r="L121" s="459"/>
      <c r="M121" s="93"/>
      <c r="N121" s="1"/>
      <c r="O121" s="1"/>
    </row>
    <row r="122" spans="1:15">
      <c r="A122" s="694" t="s">
        <v>73</v>
      </c>
      <c r="B122" s="673">
        <v>50.5</v>
      </c>
      <c r="C122" s="673">
        <v>101.6</v>
      </c>
      <c r="D122" s="673">
        <v>162.5</v>
      </c>
      <c r="E122" s="673">
        <v>203.2</v>
      </c>
      <c r="F122" s="673">
        <v>254.5</v>
      </c>
      <c r="G122" s="673">
        <v>325.2</v>
      </c>
      <c r="H122" s="623"/>
      <c r="I122" s="453"/>
      <c r="J122" s="459"/>
      <c r="K122" s="453"/>
      <c r="L122" s="459"/>
      <c r="M122" s="453"/>
      <c r="N122" s="12"/>
      <c r="O122" s="12"/>
    </row>
    <row r="123" spans="1:15">
      <c r="A123" s="683" t="s">
        <v>74</v>
      </c>
      <c r="B123" s="728">
        <v>50.5</v>
      </c>
      <c r="C123" s="673">
        <v>101.4</v>
      </c>
      <c r="D123" s="673">
        <v>162.69999999999999</v>
      </c>
      <c r="E123" s="673">
        <v>203.1</v>
      </c>
      <c r="F123" s="673">
        <v>254.5</v>
      </c>
      <c r="G123" s="673">
        <v>325.10000000000002</v>
      </c>
      <c r="H123" s="623"/>
      <c r="I123" s="453"/>
      <c r="J123" s="459"/>
      <c r="K123" s="453"/>
      <c r="L123" s="459"/>
      <c r="M123" s="453"/>
      <c r="N123" s="12"/>
      <c r="O123" s="12"/>
    </row>
    <row r="124" spans="1:15">
      <c r="A124" s="684" t="s">
        <v>75</v>
      </c>
      <c r="B124" s="14"/>
      <c r="C124" s="14"/>
      <c r="D124" s="14"/>
      <c r="E124" s="14"/>
      <c r="F124" s="14"/>
      <c r="G124" s="14"/>
      <c r="H124" s="623"/>
      <c r="I124" s="453"/>
      <c r="J124" s="459"/>
      <c r="K124" s="453"/>
      <c r="L124" s="459"/>
      <c r="M124" s="453"/>
      <c r="N124" s="12"/>
      <c r="O124" s="12"/>
    </row>
    <row r="125" spans="1:15">
      <c r="A125" s="683" t="s">
        <v>76</v>
      </c>
      <c r="B125" s="14"/>
      <c r="C125" s="14"/>
      <c r="D125" s="14"/>
      <c r="E125" s="14"/>
      <c r="F125" s="14"/>
      <c r="G125" s="14"/>
      <c r="H125" s="623"/>
      <c r="I125" s="453"/>
      <c r="J125" s="459"/>
      <c r="K125" s="453"/>
      <c r="L125" s="459"/>
      <c r="M125" s="453"/>
      <c r="N125" s="12"/>
      <c r="O125" s="12"/>
    </row>
    <row r="126" spans="1:15">
      <c r="A126" s="623"/>
      <c r="B126" s="623"/>
      <c r="C126" s="623"/>
      <c r="D126" s="623"/>
      <c r="E126" s="623"/>
      <c r="F126" s="623"/>
      <c r="G126" s="623"/>
      <c r="H126" s="623"/>
    </row>
    <row r="127" spans="1:15" ht="15.75">
      <c r="A127" s="682" t="s">
        <v>509</v>
      </c>
      <c r="B127" s="635"/>
      <c r="C127" s="635"/>
      <c r="D127" s="635"/>
      <c r="E127" s="623"/>
      <c r="F127" s="623"/>
      <c r="G127" s="623"/>
      <c r="H127" s="623"/>
    </row>
    <row r="128" spans="1:15" ht="15.75">
      <c r="A128" s="633" t="s">
        <v>533</v>
      </c>
      <c r="B128" s="658" t="s">
        <v>286</v>
      </c>
      <c r="C128" s="633"/>
      <c r="D128" s="633"/>
      <c r="E128" s="623"/>
      <c r="F128" s="623"/>
      <c r="G128" s="623"/>
      <c r="H128" s="623"/>
    </row>
    <row r="129" spans="1:12" ht="15.75" thickBot="1">
      <c r="A129" s="633"/>
      <c r="B129" s="695"/>
      <c r="C129" s="633"/>
      <c r="D129" s="633"/>
      <c r="E129" s="623"/>
      <c r="F129" s="623"/>
      <c r="G129" s="623"/>
      <c r="H129" s="623"/>
    </row>
    <row r="130" spans="1:12" ht="16.5" thickBot="1">
      <c r="A130" s="702" t="s">
        <v>1</v>
      </c>
      <c r="B130" s="964"/>
      <c r="C130" s="965"/>
      <c r="D130" s="961" t="s">
        <v>541</v>
      </c>
      <c r="E130" s="623"/>
      <c r="F130" s="623"/>
      <c r="G130" s="623"/>
      <c r="H130" s="623"/>
    </row>
    <row r="131" spans="1:12" ht="15.75">
      <c r="A131" s="703" t="s">
        <v>77</v>
      </c>
      <c r="B131" s="704" t="s">
        <v>78</v>
      </c>
      <c r="C131" s="705" t="s">
        <v>2</v>
      </c>
      <c r="D131" s="962"/>
      <c r="E131" s="623"/>
      <c r="F131" s="623"/>
      <c r="G131" s="623"/>
      <c r="H131" s="623"/>
      <c r="L131" s="7" t="s">
        <v>536</v>
      </c>
    </row>
    <row r="132" spans="1:12">
      <c r="A132" s="706" t="s">
        <v>65</v>
      </c>
      <c r="B132" s="673"/>
      <c r="C132" s="714"/>
      <c r="D132" s="962"/>
      <c r="E132" s="623"/>
      <c r="F132" s="623"/>
      <c r="G132" s="623"/>
      <c r="H132" s="623"/>
      <c r="L132" s="53" t="s">
        <v>534</v>
      </c>
    </row>
    <row r="133" spans="1:12">
      <c r="A133" s="706" t="s">
        <v>66</v>
      </c>
      <c r="B133" s="673"/>
      <c r="C133" s="714"/>
      <c r="D133" s="962"/>
      <c r="E133" s="623"/>
      <c r="F133" s="623"/>
      <c r="G133" s="623"/>
      <c r="H133" s="623"/>
      <c r="L133" s="53" t="s">
        <v>286</v>
      </c>
    </row>
    <row r="134" spans="1:12" ht="15.75" customHeight="1">
      <c r="A134" s="706" t="s">
        <v>67</v>
      </c>
      <c r="B134" s="673"/>
      <c r="C134" s="714"/>
      <c r="D134" s="962"/>
      <c r="E134" s="623"/>
      <c r="F134" s="623"/>
      <c r="G134" s="623"/>
      <c r="H134" s="623"/>
    </row>
    <row r="135" spans="1:12" ht="15.75" thickBot="1">
      <c r="A135" s="707" t="s">
        <v>68</v>
      </c>
      <c r="B135" s="674"/>
      <c r="C135" s="715"/>
      <c r="D135" s="963"/>
      <c r="E135" s="623"/>
      <c r="F135" s="623"/>
      <c r="G135" s="623"/>
      <c r="H135" s="623"/>
    </row>
    <row r="136" spans="1:12">
      <c r="A136" s="623"/>
      <c r="B136" s="623"/>
      <c r="C136" s="623"/>
      <c r="D136" s="623"/>
      <c r="E136" s="623"/>
      <c r="F136" s="623"/>
      <c r="G136" s="623"/>
      <c r="H136" s="623"/>
    </row>
    <row r="137" spans="1:12" ht="16.5" thickBot="1">
      <c r="A137" s="682" t="s">
        <v>510</v>
      </c>
      <c r="B137" s="687"/>
      <c r="C137" s="687"/>
      <c r="D137" s="687"/>
      <c r="E137" s="687"/>
      <c r="F137" s="687"/>
      <c r="G137" s="687"/>
      <c r="H137" s="687"/>
      <c r="I137" s="11"/>
    </row>
    <row r="138" spans="1:12" ht="16.5" thickBot="1">
      <c r="A138" s="635" t="s">
        <v>538</v>
      </c>
      <c r="B138" s="713">
        <v>3.2</v>
      </c>
      <c r="C138" s="623"/>
      <c r="D138" s="623"/>
      <c r="E138" s="623"/>
      <c r="F138" s="623"/>
      <c r="G138" s="623"/>
      <c r="H138" s="623"/>
    </row>
    <row r="139" spans="1:12" ht="15.75" thickBot="1">
      <c r="A139" s="623"/>
      <c r="B139" s="623"/>
      <c r="C139" s="623"/>
      <c r="D139" s="623"/>
      <c r="E139" s="623"/>
      <c r="F139" s="623"/>
      <c r="G139" s="623"/>
      <c r="H139" s="623"/>
    </row>
    <row r="140" spans="1:12" ht="15.75">
      <c r="A140" s="708" t="s">
        <v>208</v>
      </c>
      <c r="B140" s="709" t="s">
        <v>65</v>
      </c>
      <c r="C140" s="709" t="s">
        <v>66</v>
      </c>
      <c r="D140" s="711" t="s">
        <v>67</v>
      </c>
      <c r="E140" s="696"/>
      <c r="F140" s="696"/>
      <c r="G140" s="623"/>
      <c r="H140" s="623"/>
    </row>
    <row r="141" spans="1:12" ht="16.5" thickBot="1">
      <c r="A141" s="710">
        <v>0</v>
      </c>
      <c r="B141" s="871"/>
      <c r="C141" s="718"/>
      <c r="D141" s="872"/>
      <c r="E141" s="697"/>
      <c r="F141" s="698"/>
      <c r="G141" s="623"/>
      <c r="H141" s="623"/>
    </row>
    <row r="142" spans="1:12" ht="15.75">
      <c r="A142" s="710">
        <f>IF(I138&gt;3.5,3,2)</f>
        <v>2</v>
      </c>
      <c r="B142" s="716"/>
      <c r="C142" s="957" t="s">
        <v>537</v>
      </c>
      <c r="D142" s="958"/>
      <c r="E142" s="699"/>
      <c r="F142" s="693"/>
      <c r="G142" s="623"/>
      <c r="H142" s="623"/>
    </row>
    <row r="143" spans="1:12" ht="16.5" thickBot="1">
      <c r="A143" s="712">
        <f>IF(I138&gt;3.5,5,3.5)</f>
        <v>3.5</v>
      </c>
      <c r="B143" s="717"/>
      <c r="C143" s="959"/>
      <c r="D143" s="960"/>
      <c r="E143" s="697"/>
      <c r="F143" s="700"/>
      <c r="G143" s="701"/>
      <c r="H143" s="623"/>
    </row>
    <row r="144" spans="1:12">
      <c r="A144" s="623"/>
      <c r="B144" s="623"/>
      <c r="C144" s="623"/>
      <c r="D144" s="623"/>
      <c r="E144" s="623"/>
      <c r="F144" s="623"/>
      <c r="G144" s="623"/>
      <c r="H144" s="623"/>
    </row>
    <row r="145" spans="1:8" ht="15.75">
      <c r="A145" s="682" t="s">
        <v>511</v>
      </c>
      <c r="B145" s="682"/>
      <c r="C145" s="682"/>
      <c r="D145" s="682"/>
      <c r="E145" s="682"/>
      <c r="F145" s="682"/>
      <c r="G145" s="682"/>
      <c r="H145" s="623"/>
    </row>
    <row r="146" spans="1:8">
      <c r="A146" s="632"/>
      <c r="B146" s="632"/>
      <c r="C146" s="632"/>
      <c r="D146" s="632"/>
      <c r="E146" s="632"/>
      <c r="F146" s="632"/>
      <c r="G146" s="632"/>
      <c r="H146" s="623"/>
    </row>
    <row r="147" spans="1:8">
      <c r="A147" s="956" t="s">
        <v>42</v>
      </c>
      <c r="B147" s="956"/>
      <c r="C147" s="627">
        <v>100</v>
      </c>
      <c r="D147" s="687" t="s">
        <v>44</v>
      </c>
      <c r="E147" s="623"/>
      <c r="F147" s="623"/>
      <c r="G147" s="632"/>
      <c r="H147" s="623"/>
    </row>
    <row r="148" spans="1:8" ht="15.75">
      <c r="A148" s="631"/>
      <c r="B148" s="635"/>
      <c r="C148" s="637" t="s">
        <v>43</v>
      </c>
      <c r="D148" s="635"/>
      <c r="E148" s="635"/>
      <c r="F148" s="719"/>
      <c r="G148" s="720"/>
      <c r="H148" s="623"/>
    </row>
    <row r="149" spans="1:8">
      <c r="A149" s="937" t="s">
        <v>38</v>
      </c>
      <c r="B149" s="937"/>
      <c r="C149" s="725">
        <v>0</v>
      </c>
      <c r="D149" s="721"/>
      <c r="E149" s="722"/>
      <c r="F149" s="723"/>
      <c r="G149" s="729">
        <f>MAX(F149:F152)</f>
        <v>0</v>
      </c>
      <c r="H149" s="623"/>
    </row>
    <row r="150" spans="1:8">
      <c r="A150" s="937" t="s">
        <v>39</v>
      </c>
      <c r="B150" s="937"/>
      <c r="C150" s="725">
        <v>0</v>
      </c>
      <c r="D150" s="721"/>
      <c r="E150" s="722"/>
      <c r="F150" s="723"/>
      <c r="G150" s="720"/>
      <c r="H150" s="623"/>
    </row>
    <row r="151" spans="1:8">
      <c r="A151" s="937" t="s">
        <v>40</v>
      </c>
      <c r="B151" s="937"/>
      <c r="C151" s="725">
        <v>0</v>
      </c>
      <c r="D151" s="721"/>
      <c r="E151" s="722"/>
      <c r="F151" s="723"/>
      <c r="G151" s="720"/>
      <c r="H151" s="623"/>
    </row>
    <row r="152" spans="1:8">
      <c r="A152" s="937" t="s">
        <v>41</v>
      </c>
      <c r="B152" s="937"/>
      <c r="C152" s="725">
        <v>0</v>
      </c>
      <c r="D152" s="721"/>
      <c r="E152" s="722"/>
      <c r="F152" s="723"/>
      <c r="G152" s="720"/>
      <c r="H152" s="623"/>
    </row>
    <row r="153" spans="1:8">
      <c r="A153" s="724"/>
      <c r="B153" s="724"/>
      <c r="C153" s="724"/>
      <c r="D153" s="724"/>
      <c r="E153" s="724"/>
      <c r="F153" s="724"/>
      <c r="G153" s="724"/>
      <c r="H153" s="623"/>
    </row>
    <row r="154" spans="1:8" ht="15.75">
      <c r="A154" s="682" t="s">
        <v>512</v>
      </c>
      <c r="B154" s="682"/>
      <c r="C154" s="682"/>
      <c r="D154" s="682"/>
      <c r="E154" s="682"/>
      <c r="F154" s="682"/>
      <c r="G154" s="682"/>
      <c r="H154" s="623"/>
    </row>
    <row r="155" spans="1:8">
      <c r="A155" s="632"/>
      <c r="B155" s="632"/>
      <c r="C155" s="632"/>
      <c r="D155" s="632"/>
      <c r="E155" s="632"/>
      <c r="F155" s="632"/>
      <c r="G155" s="632"/>
      <c r="H155" s="623"/>
    </row>
    <row r="156" spans="1:8" ht="15.75">
      <c r="A156" s="632"/>
      <c r="B156" s="632"/>
      <c r="C156" s="637" t="s">
        <v>52</v>
      </c>
      <c r="D156" s="635"/>
      <c r="E156" s="635"/>
      <c r="F156" s="632"/>
      <c r="G156" s="730"/>
      <c r="H156" s="623"/>
    </row>
    <row r="157" spans="1:8" ht="15.75">
      <c r="A157" s="938" t="s">
        <v>48</v>
      </c>
      <c r="B157" s="939"/>
      <c r="C157" s="658" t="s">
        <v>89</v>
      </c>
      <c r="D157" s="635"/>
      <c r="E157" s="635"/>
      <c r="F157" s="632"/>
      <c r="G157" s="731"/>
      <c r="H157" s="623"/>
    </row>
    <row r="158" spans="1:8">
      <c r="A158" s="623"/>
      <c r="B158" s="623"/>
      <c r="C158" s="623"/>
      <c r="D158" s="623"/>
      <c r="E158" s="623"/>
      <c r="F158" s="623"/>
      <c r="G158" s="623"/>
      <c r="H158" s="623"/>
    </row>
    <row r="159" spans="1:8" ht="15.75">
      <c r="A159" s="682" t="s">
        <v>513</v>
      </c>
      <c r="B159" s="632"/>
      <c r="C159" s="632"/>
      <c r="D159" s="632"/>
      <c r="E159" s="623"/>
      <c r="F159" s="623"/>
      <c r="G159" s="623"/>
      <c r="H159" s="623"/>
    </row>
    <row r="160" spans="1:8">
      <c r="A160" s="632"/>
      <c r="B160" s="732" t="s">
        <v>119</v>
      </c>
      <c r="C160" s="733" t="str">
        <f>MID(Capa!$C$28,1,3)</f>
        <v>0,6</v>
      </c>
      <c r="D160" s="734" t="s">
        <v>120</v>
      </c>
      <c r="E160" s="623"/>
      <c r="F160" s="623"/>
      <c r="G160" s="623"/>
      <c r="H160" s="623"/>
    </row>
    <row r="161" spans="1:10">
      <c r="A161" s="632"/>
      <c r="B161" s="632"/>
      <c r="C161" s="633"/>
      <c r="D161" s="735"/>
      <c r="E161" s="623"/>
      <c r="F161" s="623"/>
      <c r="G161" s="623"/>
      <c r="H161" s="623"/>
    </row>
    <row r="162" spans="1:10">
      <c r="A162" s="736" t="s">
        <v>92</v>
      </c>
      <c r="B162" s="737"/>
      <c r="C162" s="627">
        <v>8</v>
      </c>
      <c r="D162" s="649"/>
      <c r="E162" s="623"/>
      <c r="F162" s="623"/>
      <c r="G162" s="623"/>
      <c r="H162" s="623"/>
    </row>
    <row r="163" spans="1:10">
      <c r="A163" s="632"/>
      <c r="B163" s="634"/>
      <c r="C163" s="649"/>
      <c r="D163" s="649"/>
      <c r="E163" s="623"/>
      <c r="F163" s="623"/>
      <c r="G163" s="623"/>
      <c r="H163" s="623"/>
    </row>
    <row r="164" spans="1:10">
      <c r="A164" s="632"/>
      <c r="B164" s="732" t="s">
        <v>348</v>
      </c>
      <c r="C164" s="733" t="str">
        <f>MID(Capa!$C$28,7,3)</f>
        <v>1,2</v>
      </c>
      <c r="D164" s="734" t="s">
        <v>120</v>
      </c>
      <c r="E164" s="623"/>
      <c r="F164" s="623"/>
      <c r="G164" s="623"/>
      <c r="H164" s="623"/>
    </row>
    <row r="165" spans="1:10">
      <c r="A165" s="632"/>
      <c r="B165" s="632"/>
      <c r="C165" s="633"/>
      <c r="D165" s="735"/>
      <c r="E165" s="623"/>
      <c r="F165" s="623"/>
      <c r="G165" s="623"/>
      <c r="H165" s="623"/>
    </row>
    <row r="166" spans="1:10">
      <c r="A166" s="736" t="s">
        <v>92</v>
      </c>
      <c r="B166" s="737"/>
      <c r="C166" s="627">
        <v>5</v>
      </c>
      <c r="D166" s="649"/>
      <c r="E166" s="623"/>
      <c r="F166" s="623"/>
      <c r="G166" s="623"/>
      <c r="H166" s="623"/>
    </row>
    <row r="167" spans="1:10">
      <c r="A167" s="623"/>
      <c r="B167" s="623"/>
      <c r="C167" s="623"/>
      <c r="D167" s="623"/>
      <c r="E167" s="623"/>
      <c r="F167" s="623"/>
      <c r="G167" s="623"/>
      <c r="H167" s="623"/>
    </row>
    <row r="168" spans="1:10" ht="16.5" thickBot="1">
      <c r="A168" s="740" t="s">
        <v>225</v>
      </c>
      <c r="B168" s="740"/>
      <c r="C168" s="740"/>
      <c r="D168" s="740"/>
      <c r="E168" s="740"/>
      <c r="F168" s="740"/>
      <c r="G168" s="740"/>
      <c r="H168" s="623"/>
    </row>
    <row r="169" spans="1:10" ht="15.75" customHeight="1">
      <c r="A169" s="741" t="s">
        <v>531</v>
      </c>
      <c r="B169" s="637">
        <v>2</v>
      </c>
      <c r="C169" s="637">
        <v>1</v>
      </c>
      <c r="D169" s="637" t="s">
        <v>36</v>
      </c>
      <c r="E169" s="637">
        <v>1</v>
      </c>
      <c r="F169" s="637">
        <v>2</v>
      </c>
      <c r="G169" s="945" t="s">
        <v>588</v>
      </c>
      <c r="H169" s="946"/>
    </row>
    <row r="170" spans="1:10" ht="15" customHeight="1">
      <c r="A170" s="742" t="s">
        <v>37</v>
      </c>
      <c r="B170" s="672"/>
      <c r="C170" s="672"/>
      <c r="D170" s="672"/>
      <c r="E170" s="672"/>
      <c r="F170" s="672"/>
      <c r="G170" s="947"/>
      <c r="H170" s="948"/>
    </row>
    <row r="171" spans="1:10" ht="15" customHeight="1">
      <c r="A171" s="632"/>
      <c r="B171" s="720"/>
      <c r="C171" s="720"/>
      <c r="D171" s="720"/>
      <c r="E171" s="720"/>
      <c r="F171" s="720"/>
      <c r="G171" s="947"/>
      <c r="H171" s="948"/>
    </row>
    <row r="172" spans="1:10" ht="15.75">
      <c r="A172" s="741" t="s">
        <v>532</v>
      </c>
      <c r="B172" s="637">
        <v>2</v>
      </c>
      <c r="C172" s="637">
        <v>1</v>
      </c>
      <c r="D172" s="637" t="s">
        <v>36</v>
      </c>
      <c r="E172" s="637">
        <v>1</v>
      </c>
      <c r="F172" s="637">
        <v>2</v>
      </c>
      <c r="G172" s="947"/>
      <c r="H172" s="948"/>
    </row>
    <row r="173" spans="1:10" ht="15" customHeight="1" thickBot="1">
      <c r="A173" s="742" t="s">
        <v>37</v>
      </c>
      <c r="B173" s="672"/>
      <c r="C173" s="672"/>
      <c r="D173" s="672"/>
      <c r="E173" s="672"/>
      <c r="F173" s="672"/>
      <c r="G173" s="949"/>
      <c r="H173" s="950"/>
    </row>
    <row r="174" spans="1:10" ht="15.75" customHeight="1">
      <c r="A174" s="632"/>
      <c r="B174" s="743"/>
      <c r="C174" s="744"/>
      <c r="D174" s="744"/>
      <c r="E174" s="744"/>
      <c r="F174" s="744"/>
      <c r="G174" s="755"/>
      <c r="H174" s="756"/>
    </row>
    <row r="175" spans="1:10" ht="15.75">
      <c r="A175" s="745" t="s">
        <v>518</v>
      </c>
      <c r="B175" s="682"/>
      <c r="C175" s="682"/>
      <c r="D175" s="682"/>
      <c r="E175" s="682"/>
      <c r="F175" s="682"/>
      <c r="G175" s="746"/>
      <c r="H175" s="682"/>
      <c r="I175" s="450"/>
      <c r="J175" s="450"/>
    </row>
    <row r="176" spans="1:10" ht="15.75">
      <c r="A176" s="745"/>
      <c r="B176" s="682"/>
      <c r="C176" s="682"/>
      <c r="D176" s="682"/>
      <c r="E176" s="682"/>
      <c r="F176" s="682"/>
      <c r="G176" s="746"/>
      <c r="H176" s="682"/>
      <c r="I176" s="450"/>
      <c r="J176" s="450"/>
    </row>
    <row r="177" spans="1:10" ht="15.75">
      <c r="A177" s="747" t="s">
        <v>42</v>
      </c>
      <c r="B177" s="738">
        <v>1</v>
      </c>
      <c r="C177" s="748" t="s">
        <v>241</v>
      </c>
      <c r="D177" s="749" t="s">
        <v>195</v>
      </c>
      <c r="E177" s="750">
        <v>1.4</v>
      </c>
      <c r="F177" s="623"/>
      <c r="G177" s="751"/>
      <c r="H177" s="752"/>
      <c r="I177" s="455"/>
      <c r="J177" s="455"/>
    </row>
    <row r="178" spans="1:10" ht="15.75">
      <c r="A178" s="747" t="s">
        <v>568</v>
      </c>
      <c r="B178" s="753">
        <f>IF(B54="Convencional",400,200)</f>
        <v>200</v>
      </c>
      <c r="C178" s="752"/>
      <c r="D178" s="749"/>
      <c r="E178" s="754"/>
      <c r="F178" s="623"/>
      <c r="G178" s="751"/>
      <c r="H178" s="752"/>
      <c r="I178" s="455"/>
      <c r="J178" s="455"/>
    </row>
    <row r="179" spans="1:10" ht="31.5">
      <c r="A179" s="623"/>
      <c r="B179" s="752"/>
      <c r="C179" s="625" t="s">
        <v>194</v>
      </c>
      <c r="D179" s="625" t="s">
        <v>2</v>
      </c>
      <c r="E179" s="625" t="s">
        <v>490</v>
      </c>
      <c r="F179" s="887" t="s">
        <v>569</v>
      </c>
      <c r="G179" s="751"/>
      <c r="H179" s="752"/>
      <c r="I179" s="455"/>
      <c r="J179" s="455"/>
    </row>
    <row r="180" spans="1:10" ht="24.75" customHeight="1">
      <c r="A180" s="940" t="s">
        <v>97</v>
      </c>
      <c r="B180" s="750" t="s">
        <v>190</v>
      </c>
      <c r="C180" s="739">
        <v>60</v>
      </c>
      <c r="D180" s="739">
        <v>20</v>
      </c>
      <c r="E180" s="739">
        <v>88.9</v>
      </c>
      <c r="F180" s="757">
        <f>IF($B$178=200,10,5)</f>
        <v>10</v>
      </c>
      <c r="G180" s="623"/>
      <c r="H180" s="623"/>
    </row>
    <row r="181" spans="1:10" ht="24.75" customHeight="1">
      <c r="A181" s="940"/>
      <c r="B181" s="750" t="s">
        <v>191</v>
      </c>
      <c r="C181" s="739">
        <v>60</v>
      </c>
      <c r="D181" s="739">
        <v>40</v>
      </c>
      <c r="E181" s="739">
        <v>175.2</v>
      </c>
      <c r="F181" s="757">
        <f>IF($B$178=200,30,15)</f>
        <v>30</v>
      </c>
      <c r="G181" s="758"/>
      <c r="H181" s="758"/>
    </row>
    <row r="182" spans="1:10" ht="24.75" customHeight="1">
      <c r="A182" s="940"/>
      <c r="B182" s="750" t="s">
        <v>192</v>
      </c>
      <c r="C182" s="739">
        <v>60</v>
      </c>
      <c r="D182" s="739">
        <v>80</v>
      </c>
      <c r="E182" s="739">
        <v>342</v>
      </c>
      <c r="F182" s="757">
        <f>IF($B$178=200,40,20)</f>
        <v>40</v>
      </c>
      <c r="G182" s="752"/>
      <c r="H182" s="752"/>
    </row>
    <row r="183" spans="1:10" ht="24.75" customHeight="1">
      <c r="A183" s="940" t="s">
        <v>334</v>
      </c>
      <c r="B183" s="750" t="s">
        <v>190</v>
      </c>
      <c r="C183" s="739"/>
      <c r="D183" s="739"/>
      <c r="E183" s="739"/>
      <c r="F183" s="757">
        <f>IF($B$178=200,7,3.5)</f>
        <v>7</v>
      </c>
      <c r="G183" s="754"/>
      <c r="H183" s="759"/>
    </row>
    <row r="184" spans="1:10" ht="24.75" customHeight="1">
      <c r="A184" s="940"/>
      <c r="B184" s="750" t="s">
        <v>191</v>
      </c>
      <c r="C184" s="739"/>
      <c r="D184" s="739"/>
      <c r="E184" s="739"/>
      <c r="F184" s="757">
        <f>IF($B$178=200,20,10)</f>
        <v>20</v>
      </c>
      <c r="G184" s="754"/>
      <c r="H184" s="759"/>
    </row>
    <row r="185" spans="1:10" ht="24.75" customHeight="1">
      <c r="A185" s="624" t="s">
        <v>333</v>
      </c>
      <c r="B185" s="750" t="s">
        <v>190</v>
      </c>
      <c r="C185" s="739">
        <v>70</v>
      </c>
      <c r="D185" s="739">
        <v>40</v>
      </c>
      <c r="E185" s="739">
        <v>123.2</v>
      </c>
      <c r="F185" s="757">
        <f>IF($B$178=200,10,5)</f>
        <v>10</v>
      </c>
      <c r="G185" s="754"/>
      <c r="H185" s="759"/>
    </row>
    <row r="186" spans="1:10" ht="24.75" customHeight="1">
      <c r="A186" s="940" t="s">
        <v>106</v>
      </c>
      <c r="B186" s="750" t="s">
        <v>193</v>
      </c>
      <c r="C186" s="739">
        <v>90</v>
      </c>
      <c r="D186" s="739">
        <v>5</v>
      </c>
      <c r="E186" s="739">
        <v>50.3</v>
      </c>
      <c r="F186" s="757">
        <f>IF($B$178=200,0.4,0.2)</f>
        <v>0.4</v>
      </c>
      <c r="G186" s="754"/>
      <c r="H186" s="754"/>
    </row>
    <row r="187" spans="1:10" ht="24.75" customHeight="1">
      <c r="A187" s="940"/>
      <c r="B187" s="750" t="s">
        <v>191</v>
      </c>
      <c r="C187" s="739">
        <v>100</v>
      </c>
      <c r="D187" s="739">
        <v>10</v>
      </c>
      <c r="E187" s="738">
        <v>120.3</v>
      </c>
      <c r="F187" s="757">
        <f>IF($B$178=200,1.5,0.75)</f>
        <v>1.5</v>
      </c>
      <c r="G187" s="693"/>
      <c r="H187" s="693"/>
    </row>
    <row r="188" spans="1:10" ht="24.75" customHeight="1">
      <c r="A188" s="940" t="s">
        <v>110</v>
      </c>
      <c r="B188" s="750" t="s">
        <v>190</v>
      </c>
      <c r="C188" s="880">
        <v>65</v>
      </c>
      <c r="D188" s="880">
        <v>25</v>
      </c>
      <c r="E188" s="880">
        <v>132.69999999999999</v>
      </c>
      <c r="F188" s="757">
        <f>IF($B$178=200,5,2.5)</f>
        <v>5</v>
      </c>
      <c r="G188" s="730"/>
      <c r="H188" s="730"/>
    </row>
    <row r="189" spans="1:10" ht="24.75" customHeight="1" thickBot="1">
      <c r="A189" s="975"/>
      <c r="B189" s="891" t="s">
        <v>191</v>
      </c>
      <c r="C189" s="892">
        <v>65</v>
      </c>
      <c r="D189" s="892">
        <v>20</v>
      </c>
      <c r="E189" s="892">
        <v>106</v>
      </c>
      <c r="F189" s="893">
        <f>IF($B$178=200,3,1.5)</f>
        <v>3</v>
      </c>
      <c r="G189" s="754"/>
      <c r="H189" s="754"/>
    </row>
    <row r="190" spans="1:10" ht="24.75" customHeight="1">
      <c r="A190" s="895" t="s">
        <v>619</v>
      </c>
      <c r="B190" s="750" t="s">
        <v>190</v>
      </c>
      <c r="C190" s="880"/>
      <c r="D190" s="880"/>
      <c r="E190" s="880"/>
      <c r="F190" s="890">
        <f>IF($B$178=200,10,5)</f>
        <v>10</v>
      </c>
      <c r="G190" s="623"/>
      <c r="H190" s="623"/>
    </row>
    <row r="191" spans="1:10" ht="24.75" customHeight="1">
      <c r="A191" s="894" t="s">
        <v>618</v>
      </c>
      <c r="B191" s="888" t="s">
        <v>190</v>
      </c>
      <c r="C191" s="889"/>
      <c r="D191" s="889"/>
      <c r="E191" s="889"/>
      <c r="F191" s="757">
        <f>IF($B$178=200,0.4,0.2)</f>
        <v>0.4</v>
      </c>
      <c r="G191" s="623"/>
      <c r="H191" s="623"/>
    </row>
    <row r="192" spans="1:10">
      <c r="A192" s="623"/>
      <c r="B192" s="623"/>
      <c r="C192" s="623"/>
      <c r="D192" s="623"/>
      <c r="E192" s="623"/>
      <c r="F192" s="623"/>
      <c r="G192" s="623"/>
      <c r="H192" s="623"/>
    </row>
    <row r="193" spans="1:8" ht="23.25">
      <c r="A193" s="970" t="s">
        <v>540</v>
      </c>
      <c r="B193" s="971"/>
      <c r="C193" s="971"/>
      <c r="D193" s="971"/>
      <c r="E193" s="971"/>
      <c r="F193" s="971"/>
      <c r="G193" s="971"/>
      <c r="H193" s="971"/>
    </row>
    <row r="194" spans="1:8" ht="16.5" thickBot="1">
      <c r="A194" s="745" t="s">
        <v>514</v>
      </c>
      <c r="B194" s="760"/>
      <c r="C194" s="760"/>
      <c r="D194" s="760"/>
      <c r="E194" s="760"/>
      <c r="F194" s="761"/>
      <c r="G194" s="623"/>
      <c r="H194" s="623"/>
    </row>
    <row r="195" spans="1:8" ht="15.75">
      <c r="A195" s="745"/>
      <c r="B195" s="943" t="s">
        <v>570</v>
      </c>
      <c r="C195" s="944"/>
      <c r="D195" s="943" t="s">
        <v>571</v>
      </c>
      <c r="E195" s="944"/>
      <c r="F195" s="623"/>
      <c r="G195" s="623"/>
      <c r="H195" s="623"/>
    </row>
    <row r="196" spans="1:8">
      <c r="A196" s="783" t="s">
        <v>481</v>
      </c>
      <c r="B196" s="762" t="s">
        <v>1</v>
      </c>
      <c r="C196" s="763" t="s">
        <v>189</v>
      </c>
      <c r="D196" s="762" t="s">
        <v>1</v>
      </c>
      <c r="E196" s="763" t="s">
        <v>189</v>
      </c>
      <c r="F196" s="623"/>
      <c r="G196" s="623"/>
      <c r="H196" s="623"/>
    </row>
    <row r="197" spans="1:8">
      <c r="A197" s="783" t="s">
        <v>482</v>
      </c>
      <c r="B197" s="779"/>
      <c r="C197" s="780"/>
      <c r="D197" s="779"/>
      <c r="E197" s="780"/>
      <c r="F197" s="623"/>
      <c r="G197" s="623"/>
      <c r="H197" s="623"/>
    </row>
    <row r="198" spans="1:8">
      <c r="A198" s="783" t="s">
        <v>483</v>
      </c>
      <c r="B198" s="779"/>
      <c r="C198" s="780"/>
      <c r="D198" s="779"/>
      <c r="E198" s="780"/>
      <c r="F198" s="623"/>
      <c r="G198" s="623"/>
      <c r="H198" s="623"/>
    </row>
    <row r="199" spans="1:8">
      <c r="A199" s="783" t="s">
        <v>484</v>
      </c>
      <c r="B199" s="779"/>
      <c r="C199" s="780"/>
      <c r="D199" s="779"/>
      <c r="E199" s="780"/>
      <c r="F199" s="623"/>
      <c r="G199" s="623"/>
      <c r="H199" s="623"/>
    </row>
    <row r="200" spans="1:8" ht="15.75">
      <c r="A200" s="760"/>
      <c r="B200" s="941" t="str">
        <f>CONCATENATE("Ref. ",YEAR(Capa!C4)-1)</f>
        <v>Ref. 2017</v>
      </c>
      <c r="C200" s="942"/>
      <c r="D200" s="941" t="str">
        <f>CONCATENATE("Ref. ",YEAR(Capa!C4)-1)</f>
        <v>Ref. 2017</v>
      </c>
      <c r="E200" s="942"/>
      <c r="F200" s="760"/>
      <c r="G200" s="623"/>
      <c r="H200" s="623"/>
    </row>
    <row r="201" spans="1:8">
      <c r="A201" s="760"/>
      <c r="B201" s="781" t="s">
        <v>1</v>
      </c>
      <c r="C201" s="782" t="s">
        <v>189</v>
      </c>
      <c r="D201" s="781" t="s">
        <v>1</v>
      </c>
      <c r="E201" s="782" t="s">
        <v>189</v>
      </c>
      <c r="F201" s="760"/>
      <c r="G201" s="623"/>
      <c r="H201" s="623"/>
    </row>
    <row r="202" spans="1:8">
      <c r="A202" s="783" t="s">
        <v>482</v>
      </c>
      <c r="B202" s="779"/>
      <c r="C202" s="780"/>
      <c r="D202" s="779"/>
      <c r="E202" s="780"/>
      <c r="F202" s="760"/>
      <c r="G202" s="623"/>
      <c r="H202" s="623"/>
    </row>
    <row r="203" spans="1:8">
      <c r="A203" s="783" t="s">
        <v>483</v>
      </c>
      <c r="B203" s="779"/>
      <c r="C203" s="780"/>
      <c r="D203" s="779"/>
      <c r="E203" s="780"/>
      <c r="F203" s="760"/>
      <c r="G203" s="623"/>
      <c r="H203" s="623"/>
    </row>
    <row r="204" spans="1:8" ht="18" customHeight="1">
      <c r="A204" s="783" t="s">
        <v>484</v>
      </c>
      <c r="B204" s="779"/>
      <c r="C204" s="780"/>
      <c r="D204" s="779"/>
      <c r="E204" s="780"/>
      <c r="F204" s="760"/>
      <c r="G204" s="623"/>
      <c r="H204" s="623"/>
    </row>
    <row r="205" spans="1:8" ht="31.5" customHeight="1">
      <c r="A205" s="745" t="s">
        <v>515</v>
      </c>
      <c r="B205" s="623"/>
      <c r="C205" s="623"/>
      <c r="D205" s="761"/>
      <c r="E205" s="761"/>
      <c r="F205" s="761"/>
      <c r="G205" s="623"/>
      <c r="H205" s="623"/>
    </row>
    <row r="206" spans="1:8">
      <c r="A206" s="760"/>
      <c r="B206" s="761"/>
      <c r="C206" s="761"/>
      <c r="D206" s="760"/>
      <c r="E206" s="760"/>
      <c r="F206" s="760"/>
      <c r="G206" s="623"/>
      <c r="H206" s="623"/>
    </row>
    <row r="207" spans="1:8" ht="15.75" thickBot="1">
      <c r="A207" s="815" t="s">
        <v>433</v>
      </c>
      <c r="B207" s="814"/>
      <c r="C207" s="760"/>
      <c r="D207" s="761"/>
      <c r="E207" s="760"/>
      <c r="F207" s="760"/>
      <c r="G207" s="623"/>
      <c r="H207" s="623"/>
    </row>
    <row r="208" spans="1:8" ht="30" customHeight="1" thickTop="1" thickBot="1">
      <c r="A208" s="774"/>
      <c r="B208" s="760" t="s">
        <v>44</v>
      </c>
      <c r="C208" s="760"/>
      <c r="D208" s="760"/>
      <c r="E208" s="760"/>
      <c r="F208" s="764"/>
      <c r="G208" s="623"/>
      <c r="H208" s="623"/>
    </row>
    <row r="209" spans="1:11" ht="16.5" thickTop="1" thickBot="1">
      <c r="A209" s="760"/>
      <c r="B209" s="760"/>
      <c r="C209" s="760"/>
      <c r="D209" s="760"/>
      <c r="E209" s="760"/>
      <c r="F209" s="760"/>
      <c r="G209" s="623"/>
      <c r="H209" s="623"/>
    </row>
    <row r="210" spans="1:11" ht="15.75">
      <c r="A210" s="760"/>
      <c r="B210" s="765" t="s">
        <v>535</v>
      </c>
      <c r="C210" s="766" t="str">
        <f>B200</f>
        <v>Ref. 2017</v>
      </c>
      <c r="D210" s="760"/>
      <c r="E210" s="760"/>
      <c r="F210" s="623"/>
      <c r="G210" s="623"/>
      <c r="H210" s="623"/>
    </row>
    <row r="211" spans="1:11" ht="23.25" customHeight="1" thickBot="1">
      <c r="A211" s="799" t="s">
        <v>480</v>
      </c>
      <c r="B211" s="775"/>
      <c r="C211" s="776"/>
      <c r="D211" s="777"/>
      <c r="E211" s="760"/>
      <c r="F211" s="623"/>
      <c r="G211" s="623"/>
      <c r="H211" s="623"/>
    </row>
    <row r="212" spans="1:11">
      <c r="A212" s="760"/>
      <c r="B212" s="765"/>
      <c r="C212" s="765"/>
      <c r="D212" s="760"/>
      <c r="E212" s="767"/>
      <c r="F212" s="760"/>
      <c r="G212" s="623"/>
      <c r="H212" s="623"/>
    </row>
    <row r="213" spans="1:11" ht="15.75">
      <c r="A213" s="745" t="s">
        <v>516</v>
      </c>
      <c r="B213" s="765"/>
      <c r="C213" s="765"/>
      <c r="D213" s="760"/>
      <c r="E213" s="760"/>
      <c r="F213" s="760"/>
      <c r="G213" s="623"/>
      <c r="H213" s="623"/>
    </row>
    <row r="214" spans="1:11" ht="15.75" thickBot="1">
      <c r="A214" s="760"/>
      <c r="B214" s="765"/>
      <c r="C214" s="765"/>
      <c r="D214" s="760"/>
      <c r="E214" s="760"/>
      <c r="F214" s="760"/>
      <c r="G214" s="623"/>
      <c r="H214" s="623"/>
    </row>
    <row r="215" spans="1:11" ht="15.75">
      <c r="A215" s="760"/>
      <c r="B215" s="765" t="str">
        <f>B210</f>
        <v>CQ Atual</v>
      </c>
      <c r="C215" s="766" t="str">
        <f>B200</f>
        <v>Ref. 2017</v>
      </c>
      <c r="D215" s="623"/>
      <c r="E215" s="760"/>
      <c r="F215" s="623"/>
      <c r="G215" s="623"/>
      <c r="H215" s="623"/>
    </row>
    <row r="216" spans="1:11" ht="19.5" customHeight="1">
      <c r="A216" s="799" t="s">
        <v>478</v>
      </c>
      <c r="B216" s="775"/>
      <c r="C216" s="778"/>
      <c r="D216" s="623"/>
      <c r="E216" s="760"/>
      <c r="F216" s="623"/>
      <c r="G216" s="623"/>
      <c r="H216" s="623"/>
    </row>
    <row r="217" spans="1:11" ht="19.5" customHeight="1" thickBot="1">
      <c r="A217" s="799" t="s">
        <v>479</v>
      </c>
      <c r="B217" s="775"/>
      <c r="C217" s="776"/>
      <c r="D217" s="623"/>
      <c r="E217" s="760"/>
      <c r="F217" s="623"/>
      <c r="G217" s="623"/>
      <c r="H217" s="623"/>
    </row>
    <row r="218" spans="1:11">
      <c r="A218" s="623"/>
      <c r="B218" s="623"/>
      <c r="C218" s="623"/>
      <c r="D218" s="623"/>
      <c r="E218" s="623"/>
      <c r="F218" s="623"/>
      <c r="G218" s="623"/>
      <c r="H218" s="623"/>
    </row>
    <row r="219" spans="1:11" ht="15.75">
      <c r="A219" s="745" t="s">
        <v>517</v>
      </c>
      <c r="B219" s="761"/>
      <c r="C219" s="761"/>
      <c r="D219" s="761"/>
      <c r="E219" s="761"/>
      <c r="F219" s="761"/>
      <c r="G219" s="761"/>
      <c r="H219" s="761"/>
      <c r="I219" s="454"/>
      <c r="J219" s="323"/>
      <c r="K219" s="323"/>
    </row>
    <row r="220" spans="1:11" ht="15.75">
      <c r="A220" s="745" t="s">
        <v>600</v>
      </c>
      <c r="B220" s="791"/>
      <c r="C220" s="791"/>
      <c r="D220" s="791"/>
      <c r="E220" s="791"/>
      <c r="F220" s="791"/>
      <c r="G220" s="791"/>
      <c r="H220" s="791"/>
      <c r="I220" s="498"/>
      <c r="J220" s="323"/>
      <c r="K220" s="323"/>
    </row>
    <row r="221" spans="1:11" ht="16.5" thickBot="1">
      <c r="A221" s="768" t="s">
        <v>442</v>
      </c>
      <c r="B221" s="768" t="s">
        <v>443</v>
      </c>
      <c r="C221" s="768" t="s">
        <v>444</v>
      </c>
      <c r="D221" s="760"/>
      <c r="E221" s="791"/>
      <c r="F221" s="791"/>
      <c r="G221" s="791"/>
      <c r="H221" s="765"/>
      <c r="I221" s="498"/>
      <c r="J221" s="323"/>
      <c r="K221" s="323"/>
    </row>
    <row r="222" spans="1:11" ht="23.25" customHeight="1" thickBot="1">
      <c r="A222" s="873"/>
      <c r="B222" s="772"/>
      <c r="C222" s="773"/>
      <c r="D222" s="760"/>
      <c r="E222" s="769">
        <f>A222*1000*0.00876</f>
        <v>0</v>
      </c>
      <c r="F222" s="770" t="s">
        <v>445</v>
      </c>
      <c r="G222" s="765"/>
      <c r="H222" s="765"/>
      <c r="I222" s="498"/>
      <c r="J222" s="323"/>
      <c r="K222" s="323"/>
    </row>
    <row r="223" spans="1:11">
      <c r="A223" s="874"/>
      <c r="B223" s="808"/>
      <c r="C223" s="809"/>
      <c r="D223" s="804"/>
      <c r="E223" s="809"/>
      <c r="F223" s="808"/>
      <c r="G223" s="809"/>
      <c r="H223" s="808"/>
      <c r="I223" s="498"/>
      <c r="J223" s="323"/>
      <c r="K223" s="323"/>
    </row>
    <row r="224" spans="1:11" ht="15.75">
      <c r="A224" s="875" t="s">
        <v>442</v>
      </c>
      <c r="B224" s="768" t="s">
        <v>443</v>
      </c>
      <c r="C224" s="768" t="s">
        <v>444</v>
      </c>
      <c r="D224" s="807"/>
      <c r="E224" s="791"/>
      <c r="F224" s="791"/>
      <c r="G224" s="951" t="str">
        <f>C215</f>
        <v>Ref. 2017</v>
      </c>
      <c r="H224" s="952"/>
      <c r="I224" s="498"/>
      <c r="J224" s="323"/>
      <c r="K224" s="323"/>
    </row>
    <row r="225" spans="1:11" ht="26.25" customHeight="1">
      <c r="A225" s="803"/>
      <c r="B225" s="772"/>
      <c r="C225" s="771"/>
      <c r="D225" s="804"/>
      <c r="E225" s="805">
        <f>A225*1000*0.00876</f>
        <v>0</v>
      </c>
      <c r="F225" s="806" t="s">
        <v>445</v>
      </c>
      <c r="G225" s="935"/>
      <c r="H225" s="953"/>
      <c r="I225" s="498"/>
      <c r="J225" s="323"/>
      <c r="K225" s="323"/>
    </row>
    <row r="226" spans="1:11" ht="15.75">
      <c r="A226" s="745"/>
      <c r="B226" s="791"/>
      <c r="C226" s="791"/>
      <c r="D226" s="791"/>
      <c r="E226" s="791"/>
      <c r="F226" s="791"/>
      <c r="G226" s="791"/>
      <c r="H226" s="791"/>
      <c r="I226" s="498"/>
      <c r="J226" s="323"/>
      <c r="K226" s="323"/>
    </row>
    <row r="227" spans="1:11" ht="15.75">
      <c r="A227" s="745" t="s">
        <v>599</v>
      </c>
      <c r="B227" s="791"/>
      <c r="C227" s="791"/>
      <c r="D227" s="791"/>
      <c r="E227" s="791"/>
      <c r="F227" s="791"/>
      <c r="G227" s="791"/>
      <c r="H227" s="791"/>
      <c r="I227" s="498"/>
      <c r="J227" s="323"/>
      <c r="K227" s="323"/>
    </row>
    <row r="228" spans="1:11" ht="16.5" thickBot="1">
      <c r="A228" s="768" t="s">
        <v>442</v>
      </c>
      <c r="B228" s="768" t="s">
        <v>443</v>
      </c>
      <c r="C228" s="768" t="s">
        <v>444</v>
      </c>
      <c r="D228" s="760"/>
      <c r="E228" s="761"/>
      <c r="F228" s="761"/>
      <c r="G228" s="761"/>
      <c r="H228" s="765"/>
      <c r="I228" s="323"/>
      <c r="J228" s="323"/>
      <c r="K228" s="323"/>
    </row>
    <row r="229" spans="1:11" ht="24" customHeight="1" thickBot="1">
      <c r="A229" s="873"/>
      <c r="B229" s="772"/>
      <c r="C229" s="773"/>
      <c r="D229" s="760"/>
      <c r="E229" s="769">
        <f>A229*1000*0.00876</f>
        <v>0</v>
      </c>
      <c r="F229" s="770" t="s">
        <v>445</v>
      </c>
      <c r="G229" s="765"/>
      <c r="H229" s="765"/>
      <c r="I229" s="323"/>
      <c r="J229" s="323"/>
      <c r="K229" s="323"/>
    </row>
    <row r="230" spans="1:11">
      <c r="A230" s="765"/>
      <c r="B230" s="808"/>
      <c r="C230" s="809"/>
      <c r="D230" s="804"/>
      <c r="E230" s="809"/>
      <c r="F230" s="808"/>
      <c r="G230" s="809"/>
      <c r="H230" s="808"/>
      <c r="I230" s="323"/>
      <c r="J230" s="323"/>
      <c r="K230" s="323"/>
    </row>
    <row r="231" spans="1:11" ht="15.75">
      <c r="A231" s="802" t="s">
        <v>442</v>
      </c>
      <c r="B231" s="768" t="s">
        <v>443</v>
      </c>
      <c r="C231" s="768" t="s">
        <v>444</v>
      </c>
      <c r="D231" s="807"/>
      <c r="E231" s="791"/>
      <c r="F231" s="791"/>
      <c r="G231" s="951" t="str">
        <f>C210</f>
        <v>Ref. 2017</v>
      </c>
      <c r="H231" s="952"/>
      <c r="I231" s="323"/>
    </row>
    <row r="232" spans="1:11" ht="27" customHeight="1">
      <c r="A232" s="876"/>
      <c r="B232" s="772"/>
      <c r="C232" s="771"/>
      <c r="D232" s="804"/>
      <c r="E232" s="805">
        <f>A232*1000*0.00876</f>
        <v>0</v>
      </c>
      <c r="F232" s="806" t="s">
        <v>445</v>
      </c>
      <c r="G232" s="935"/>
      <c r="H232" s="953"/>
      <c r="I232" s="323"/>
    </row>
    <row r="233" spans="1:11">
      <c r="A233" s="760"/>
      <c r="B233" s="760"/>
      <c r="C233" s="760"/>
      <c r="D233" s="760"/>
      <c r="E233" s="760"/>
      <c r="F233" s="760"/>
      <c r="G233" s="760"/>
      <c r="H233" s="760"/>
      <c r="I233" s="323"/>
    </row>
    <row r="234" spans="1:11">
      <c r="A234" s="760"/>
      <c r="B234" s="760"/>
      <c r="C234" s="760"/>
      <c r="D234" s="760"/>
      <c r="E234" s="760"/>
      <c r="F234" s="760"/>
      <c r="G234" s="760"/>
      <c r="H234" s="760"/>
      <c r="I234" s="323"/>
      <c r="J234" s="454"/>
      <c r="K234" s="460"/>
    </row>
    <row r="235" spans="1:11" ht="15.75">
      <c r="A235" s="745" t="s">
        <v>601</v>
      </c>
      <c r="B235" s="761"/>
      <c r="C235" s="761"/>
      <c r="D235" s="761"/>
      <c r="E235" s="761"/>
      <c r="F235" s="761"/>
      <c r="G235" s="761"/>
      <c r="H235" s="761"/>
      <c r="I235" s="454"/>
      <c r="J235" s="454"/>
      <c r="K235" s="323"/>
    </row>
    <row r="236" spans="1:11" ht="15.75">
      <c r="A236" s="745"/>
      <c r="B236" s="791"/>
      <c r="C236" s="791"/>
      <c r="D236" s="791"/>
      <c r="E236" s="791"/>
      <c r="F236" s="791"/>
      <c r="G236" s="791"/>
      <c r="H236" s="791"/>
      <c r="I236" s="498"/>
      <c r="J236" s="498"/>
      <c r="K236" s="323"/>
    </row>
    <row r="237" spans="1:11" ht="15.75">
      <c r="A237" s="745" t="s">
        <v>600</v>
      </c>
      <c r="B237" s="791"/>
      <c r="C237" s="791"/>
      <c r="D237" s="791"/>
      <c r="E237" s="791"/>
      <c r="F237" s="791"/>
      <c r="G237" s="791"/>
      <c r="H237" s="791"/>
      <c r="I237" s="498"/>
      <c r="J237" s="498"/>
      <c r="K237" s="323"/>
    </row>
    <row r="238" spans="1:11" ht="16.5" thickBot="1">
      <c r="A238" s="768" t="s">
        <v>442</v>
      </c>
      <c r="B238" s="768" t="s">
        <v>443</v>
      </c>
      <c r="C238" s="768" t="s">
        <v>444</v>
      </c>
      <c r="D238" s="791"/>
      <c r="E238" s="791"/>
      <c r="F238" s="791"/>
      <c r="G238" s="791"/>
      <c r="H238" s="791"/>
      <c r="I238" s="498"/>
      <c r="J238" s="498"/>
      <c r="K238" s="323"/>
    </row>
    <row r="239" spans="1:11" ht="27" customHeight="1" thickBot="1">
      <c r="A239" s="873"/>
      <c r="B239" s="772"/>
      <c r="C239" s="773"/>
      <c r="D239" s="791"/>
      <c r="E239" s="769">
        <f>A239*1000*0.00876</f>
        <v>0</v>
      </c>
      <c r="F239" s="770" t="s">
        <v>445</v>
      </c>
      <c r="G239" s="760"/>
      <c r="H239" s="760"/>
      <c r="I239" s="498"/>
      <c r="J239" s="498"/>
      <c r="K239" s="323"/>
    </row>
    <row r="240" spans="1:11">
      <c r="A240" s="765"/>
      <c r="B240" s="765"/>
      <c r="C240" s="791"/>
      <c r="D240" s="791"/>
      <c r="E240" s="765"/>
      <c r="F240" s="791"/>
      <c r="G240" s="765"/>
      <c r="H240" s="791"/>
      <c r="I240" s="498"/>
      <c r="J240" s="498"/>
      <c r="K240" s="323"/>
    </row>
    <row r="241" spans="1:11" ht="15.75">
      <c r="A241" s="810" t="s">
        <v>442</v>
      </c>
      <c r="B241" s="811" t="s">
        <v>443</v>
      </c>
      <c r="C241" s="811" t="s">
        <v>444</v>
      </c>
      <c r="D241" s="813"/>
      <c r="E241" s="813"/>
      <c r="F241" s="813"/>
      <c r="G241" s="933" t="str">
        <f>G224</f>
        <v>Ref. 2017</v>
      </c>
      <c r="H241" s="934"/>
      <c r="I241" s="498"/>
      <c r="J241" s="498"/>
      <c r="K241" s="323"/>
    </row>
    <row r="242" spans="1:11" ht="26.25" customHeight="1">
      <c r="A242" s="873"/>
      <c r="B242" s="772"/>
      <c r="C242" s="771"/>
      <c r="D242" s="809"/>
      <c r="E242" s="805">
        <f>A242*1000*0.00876</f>
        <v>0</v>
      </c>
      <c r="F242" s="809" t="s">
        <v>445</v>
      </c>
      <c r="G242" s="935"/>
      <c r="H242" s="936"/>
      <c r="I242" s="498"/>
      <c r="J242" s="498"/>
      <c r="K242" s="323"/>
    </row>
    <row r="243" spans="1:11" ht="15.75">
      <c r="A243" s="745"/>
      <c r="B243" s="791"/>
      <c r="C243" s="791"/>
      <c r="D243" s="791"/>
      <c r="E243" s="791"/>
      <c r="F243" s="791"/>
      <c r="G243" s="791"/>
      <c r="H243" s="791"/>
      <c r="I243" s="498"/>
      <c r="J243" s="498"/>
      <c r="K243" s="323"/>
    </row>
    <row r="244" spans="1:11" ht="15.75">
      <c r="A244" s="745" t="s">
        <v>599</v>
      </c>
      <c r="B244" s="791"/>
      <c r="C244" s="791"/>
      <c r="D244" s="791"/>
      <c r="E244" s="791"/>
      <c r="F244" s="791"/>
      <c r="G244" s="791"/>
      <c r="H244" s="791"/>
      <c r="I244" s="498"/>
      <c r="J244" s="498"/>
      <c r="K244" s="323"/>
    </row>
    <row r="245" spans="1:11" ht="16.5" thickBot="1">
      <c r="A245" s="768" t="s">
        <v>442</v>
      </c>
      <c r="B245" s="768" t="s">
        <v>443</v>
      </c>
      <c r="C245" s="768" t="s">
        <v>444</v>
      </c>
      <c r="D245" s="761"/>
      <c r="E245" s="761"/>
      <c r="F245" s="761"/>
      <c r="G245" s="761"/>
      <c r="H245" s="761"/>
      <c r="I245" s="454"/>
      <c r="J245" s="323"/>
      <c r="K245" s="323"/>
    </row>
    <row r="246" spans="1:11" ht="23.25" customHeight="1" thickBot="1">
      <c r="A246" s="873"/>
      <c r="B246" s="772"/>
      <c r="C246" s="773"/>
      <c r="D246" s="760"/>
      <c r="E246" s="769">
        <f>A246*1000*0.00876</f>
        <v>0</v>
      </c>
      <c r="F246" s="770" t="s">
        <v>445</v>
      </c>
      <c r="G246" s="760"/>
      <c r="H246" s="760"/>
      <c r="I246" s="454"/>
      <c r="J246" s="323"/>
      <c r="K246" s="323"/>
    </row>
    <row r="247" spans="1:11">
      <c r="A247" s="765"/>
      <c r="B247" s="765"/>
      <c r="C247" s="761"/>
      <c r="D247" s="761"/>
      <c r="E247" s="765"/>
      <c r="F247" s="761"/>
      <c r="G247" s="765"/>
      <c r="H247" s="761"/>
      <c r="I247" s="454"/>
      <c r="J247" s="323"/>
      <c r="K247" s="323"/>
    </row>
    <row r="248" spans="1:11" ht="15.75">
      <c r="A248" s="810" t="s">
        <v>442</v>
      </c>
      <c r="B248" s="811" t="s">
        <v>443</v>
      </c>
      <c r="C248" s="811" t="s">
        <v>444</v>
      </c>
      <c r="D248" s="812"/>
      <c r="E248" s="813"/>
      <c r="F248" s="813"/>
      <c r="G248" s="933" t="str">
        <f>G231</f>
        <v>Ref. 2017</v>
      </c>
      <c r="H248" s="934"/>
      <c r="I248" s="323"/>
      <c r="J248" s="323"/>
      <c r="K248" s="323"/>
    </row>
    <row r="249" spans="1:11" ht="27" customHeight="1">
      <c r="A249" s="873"/>
      <c r="B249" s="772"/>
      <c r="C249" s="771"/>
      <c r="D249" s="804"/>
      <c r="E249" s="805">
        <f>A249*1000*0.00876</f>
        <v>0</v>
      </c>
      <c r="F249" s="809" t="s">
        <v>445</v>
      </c>
      <c r="G249" s="935"/>
      <c r="H249" s="936"/>
      <c r="I249" s="323"/>
      <c r="J249" s="323"/>
      <c r="K249" s="323"/>
    </row>
  </sheetData>
  <mergeCells count="46">
    <mergeCell ref="B13:H13"/>
    <mergeCell ref="B14:H14"/>
    <mergeCell ref="A1:H1"/>
    <mergeCell ref="A193:H193"/>
    <mergeCell ref="A71:G71"/>
    <mergeCell ref="D79:E79"/>
    <mergeCell ref="F72:G79"/>
    <mergeCell ref="A186:A187"/>
    <mergeCell ref="A188:A189"/>
    <mergeCell ref="B6:H6"/>
    <mergeCell ref="B7:H7"/>
    <mergeCell ref="B8:H8"/>
    <mergeCell ref="B9:H9"/>
    <mergeCell ref="B10:H10"/>
    <mergeCell ref="B11:H11"/>
    <mergeCell ref="B12:H12"/>
    <mergeCell ref="A116:B116"/>
    <mergeCell ref="A147:B147"/>
    <mergeCell ref="G231:H232"/>
    <mergeCell ref="A149:B149"/>
    <mergeCell ref="A150:B150"/>
    <mergeCell ref="A151:B151"/>
    <mergeCell ref="C142:D143"/>
    <mergeCell ref="D130:D135"/>
    <mergeCell ref="B130:C130"/>
    <mergeCell ref="G248:H249"/>
    <mergeCell ref="A152:B152"/>
    <mergeCell ref="A157:B157"/>
    <mergeCell ref="A180:A182"/>
    <mergeCell ref="A183:A184"/>
    <mergeCell ref="B200:C200"/>
    <mergeCell ref="B195:C195"/>
    <mergeCell ref="D195:E195"/>
    <mergeCell ref="D200:E200"/>
    <mergeCell ref="G169:H173"/>
    <mergeCell ref="G224:H225"/>
    <mergeCell ref="G241:H242"/>
    <mergeCell ref="A22:B22"/>
    <mergeCell ref="A69:B69"/>
    <mergeCell ref="A55:G55"/>
    <mergeCell ref="A68:B68"/>
    <mergeCell ref="F57:G66"/>
    <mergeCell ref="D25:E25"/>
    <mergeCell ref="A50:B50"/>
    <mergeCell ref="A53:G53"/>
    <mergeCell ref="A51:B51"/>
  </mergeCells>
  <conditionalFormatting sqref="B124:G125">
    <cfRule type="cellIs" dxfId="8" priority="1" operator="equal">
      <formula>""</formula>
    </cfRule>
  </conditionalFormatting>
  <conditionalFormatting sqref="B88:E89 B95:E96 B102:E102">
    <cfRule type="cellIs" dxfId="7" priority="3" operator="equal">
      <formula>""</formula>
    </cfRule>
  </conditionalFormatting>
  <conditionalFormatting sqref="B111:D112">
    <cfRule type="cellIs" dxfId="6" priority="2" operator="equal">
      <formula>""</formula>
    </cfRule>
  </conditionalFormatting>
  <dataValidations count="4">
    <dataValidation type="list" allowBlank="1" showInputMessage="1" showErrorMessage="1" sqref="B54">
      <formula1>$L$52:$L$54</formula1>
    </dataValidation>
    <dataValidation type="list" allowBlank="1" showInputMessage="1" showErrorMessage="1" sqref="A84">
      <formula1>$L$87:$L$88</formula1>
    </dataValidation>
    <dataValidation type="list" allowBlank="1" showInputMessage="1" showErrorMessage="1" sqref="B128:B129">
      <formula1>$L$132:$L$133</formula1>
    </dataValidation>
    <dataValidation type="list" allowBlank="1" showInputMessage="1" showErrorMessage="1" sqref="B83 D91 D98">
      <formula1>$L$81:$L$84</formula1>
    </dataValidation>
  </dataValidations>
  <pageMargins left="0.511811024" right="0.511811024" top="0.78740157499999996" bottom="0.78740157499999996" header="0.31496062000000002" footer="0.31496062000000002"/>
  <pageSetup paperSize="9" scale="50" orientation="portrait" verticalDpi="0" r:id="rId1"/>
  <rowBreaks count="4" manualBreakCount="4">
    <brk id="20" max="16383" man="1"/>
    <brk id="80" max="16383" man="1"/>
    <brk id="144" max="16383" man="1"/>
    <brk id="192" max="16383" man="1"/>
  </rowBreaks>
  <colBreaks count="1" manualBreakCount="1">
    <brk id="8" min="1" max="219" man="1"/>
  </col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'Testes Mec.'!$L$14:$L$16</xm:f>
          </x14:formula1>
          <xm:sqref>C157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3:T55"/>
  <sheetViews>
    <sheetView view="pageBreakPreview" topLeftCell="B1" zoomScale="60" zoomScaleNormal="100" workbookViewId="0">
      <selection activeCell="G42" sqref="G42"/>
    </sheetView>
  </sheetViews>
  <sheetFormatPr defaultRowHeight="12.75"/>
  <cols>
    <col min="1" max="10" width="12.7109375" style="426" customWidth="1"/>
    <col min="11" max="11" width="15.7109375" style="426" customWidth="1"/>
    <col min="12" max="26" width="9.140625" style="426"/>
    <col min="27" max="27" width="13.42578125" style="426" bestFit="1" customWidth="1"/>
    <col min="28" max="16384" width="9.140625" style="426"/>
  </cols>
  <sheetData>
    <row r="3" spans="2:20" ht="15.75">
      <c r="B3" s="425" t="s">
        <v>492</v>
      </c>
      <c r="D3" s="978" t="str">
        <f>Capa!C39</f>
        <v>003F</v>
      </c>
      <c r="E3" s="978"/>
      <c r="F3" s="978"/>
      <c r="G3" s="978"/>
      <c r="H3" s="978"/>
    </row>
    <row r="4" spans="2:20" ht="15.75">
      <c r="G4" s="427"/>
      <c r="I4" s="428"/>
    </row>
    <row r="5" spans="2:20" ht="15.75">
      <c r="G5" s="427"/>
      <c r="I5" s="428"/>
    </row>
    <row r="7" spans="2:20" ht="33">
      <c r="E7" s="429" t="s">
        <v>493</v>
      </c>
    </row>
    <row r="8" spans="2:20" ht="20.100000000000001" customHeight="1"/>
    <row r="9" spans="2:20" ht="20.100000000000001" customHeight="1">
      <c r="B9" s="984" t="s">
        <v>494</v>
      </c>
      <c r="C9" s="984"/>
      <c r="D9" s="980" t="str">
        <f>Capa!C14</f>
        <v>Raios X</v>
      </c>
      <c r="E9" s="980"/>
      <c r="F9" s="980"/>
      <c r="G9" s="980"/>
      <c r="H9" s="980"/>
    </row>
    <row r="10" spans="2:20" ht="20.100000000000001" customHeight="1">
      <c r="B10" s="984"/>
      <c r="C10" s="984"/>
      <c r="D10" s="980"/>
      <c r="E10" s="980"/>
      <c r="F10" s="980"/>
      <c r="G10" s="980"/>
      <c r="H10" s="980"/>
    </row>
    <row r="11" spans="2:20" ht="20.100000000000001" customHeight="1">
      <c r="B11" s="984" t="s">
        <v>495</v>
      </c>
      <c r="C11" s="984"/>
      <c r="D11" s="980" t="str">
        <f>Capa!C16</f>
        <v>Philips</v>
      </c>
      <c r="E11" s="980"/>
      <c r="F11" s="980"/>
      <c r="G11" s="980"/>
      <c r="H11" s="980"/>
    </row>
    <row r="12" spans="2:20" ht="20.100000000000001" customHeight="1">
      <c r="B12" s="984"/>
      <c r="C12" s="984"/>
      <c r="D12" s="980"/>
      <c r="E12" s="980"/>
      <c r="F12" s="980"/>
      <c r="G12" s="980"/>
      <c r="H12" s="980"/>
    </row>
    <row r="13" spans="2:20" ht="20.100000000000001" customHeight="1">
      <c r="B13" s="984" t="s">
        <v>496</v>
      </c>
      <c r="C13" s="984"/>
      <c r="D13" s="980" t="str">
        <f>Capa!C18</f>
        <v>Compact Plus 800</v>
      </c>
      <c r="E13" s="980"/>
      <c r="F13" s="980"/>
      <c r="G13" s="980"/>
      <c r="H13" s="980"/>
      <c r="I13" s="430"/>
      <c r="J13" s="430"/>
      <c r="K13" s="430"/>
      <c r="L13" s="431"/>
      <c r="O13" s="978"/>
      <c r="P13" s="978"/>
      <c r="Q13" s="430"/>
      <c r="R13" s="430"/>
      <c r="S13" s="430"/>
      <c r="T13" s="430"/>
    </row>
    <row r="14" spans="2:20" ht="20.100000000000001" customHeight="1">
      <c r="B14" s="984"/>
      <c r="C14" s="984"/>
      <c r="D14" s="980"/>
      <c r="E14" s="980"/>
      <c r="F14" s="980"/>
      <c r="G14" s="980"/>
      <c r="H14" s="980"/>
      <c r="I14" s="430"/>
      <c r="J14" s="430"/>
      <c r="K14" s="430"/>
      <c r="L14" s="431"/>
      <c r="N14" s="430"/>
      <c r="O14" s="430"/>
      <c r="P14" s="430"/>
      <c r="Q14" s="430"/>
      <c r="R14" s="430"/>
      <c r="S14" s="430"/>
      <c r="T14" s="430"/>
    </row>
    <row r="15" spans="2:20" ht="20.100000000000001" customHeight="1">
      <c r="B15" s="979" t="s">
        <v>497</v>
      </c>
      <c r="C15" s="979"/>
      <c r="D15" s="980" t="str">
        <f>Capa!C20</f>
        <v>PACF8701001</v>
      </c>
      <c r="E15" s="980"/>
      <c r="F15" s="980"/>
      <c r="G15" s="980"/>
      <c r="H15" s="980"/>
      <c r="I15" s="430"/>
      <c r="J15" s="430"/>
      <c r="K15" s="430"/>
      <c r="L15" s="431"/>
      <c r="N15" s="430"/>
      <c r="O15" s="430"/>
      <c r="P15" s="430"/>
      <c r="Q15" s="430"/>
      <c r="R15" s="430"/>
      <c r="S15" s="430"/>
      <c r="T15" s="430"/>
    </row>
    <row r="16" spans="2:20" ht="20.100000000000001" customHeight="1">
      <c r="B16" s="979"/>
      <c r="C16" s="979"/>
      <c r="D16" s="980"/>
      <c r="E16" s="980"/>
      <c r="F16" s="980"/>
      <c r="G16" s="980"/>
      <c r="H16" s="980"/>
      <c r="I16" s="430"/>
      <c r="J16" s="430"/>
      <c r="K16" s="430"/>
      <c r="L16" s="431"/>
      <c r="N16" s="430"/>
      <c r="O16" s="430"/>
      <c r="P16" s="430"/>
      <c r="Q16" s="430"/>
      <c r="R16" s="430"/>
      <c r="S16" s="430"/>
      <c r="T16" s="430"/>
    </row>
    <row r="17" spans="1:20" ht="20.100000000000001" customHeight="1">
      <c r="B17" s="979" t="s">
        <v>498</v>
      </c>
      <c r="C17" s="979"/>
      <c r="D17" s="980" t="str">
        <f>Capa!C6</f>
        <v>Grupo Fleury - Unidade Braz Leme</v>
      </c>
      <c r="E17" s="980"/>
      <c r="F17" s="980"/>
      <c r="G17" s="980"/>
      <c r="H17" s="980"/>
      <c r="I17" s="430"/>
      <c r="J17" s="430"/>
      <c r="K17" s="430"/>
      <c r="L17" s="431"/>
      <c r="N17" s="430"/>
      <c r="O17" s="430"/>
      <c r="P17" s="430"/>
      <c r="Q17" s="430"/>
      <c r="R17" s="430"/>
      <c r="S17" s="430"/>
      <c r="T17" s="430"/>
    </row>
    <row r="18" spans="1:20" ht="20.100000000000001" customHeight="1">
      <c r="B18" s="979"/>
      <c r="C18" s="979"/>
      <c r="D18" s="980"/>
      <c r="E18" s="980"/>
      <c r="F18" s="980"/>
      <c r="G18" s="980"/>
      <c r="H18" s="980"/>
      <c r="I18" s="430"/>
      <c r="J18" s="430"/>
      <c r="K18" s="430"/>
      <c r="L18" s="431"/>
      <c r="N18" s="430"/>
      <c r="O18" s="430"/>
      <c r="P18" s="430"/>
      <c r="Q18" s="430"/>
      <c r="R18" s="430"/>
      <c r="S18" s="430"/>
      <c r="T18" s="430"/>
    </row>
    <row r="19" spans="1:20" ht="20.100000000000001" customHeight="1">
      <c r="A19" s="432"/>
      <c r="B19" s="979"/>
      <c r="C19" s="979"/>
      <c r="D19" s="980"/>
      <c r="E19" s="980"/>
      <c r="F19" s="980"/>
      <c r="G19" s="980"/>
      <c r="H19" s="980"/>
      <c r="I19" s="430"/>
      <c r="J19" s="430"/>
      <c r="S19" s="430"/>
      <c r="T19" s="430"/>
    </row>
    <row r="20" spans="1:20" ht="20.100000000000001" customHeight="1">
      <c r="B20" s="979"/>
      <c r="C20" s="979"/>
      <c r="D20" s="980"/>
      <c r="E20" s="980"/>
      <c r="F20" s="980"/>
      <c r="G20" s="980"/>
      <c r="H20" s="980"/>
      <c r="I20" s="430"/>
      <c r="J20" s="430"/>
      <c r="S20" s="430"/>
      <c r="T20" s="430"/>
    </row>
    <row r="21" spans="1:20" ht="20.100000000000001" customHeight="1">
      <c r="B21" s="979"/>
      <c r="C21" s="979"/>
      <c r="D21" s="980"/>
      <c r="E21" s="980"/>
      <c r="F21" s="980"/>
      <c r="G21" s="980"/>
      <c r="H21" s="980"/>
      <c r="I21" s="430"/>
      <c r="J21" s="430"/>
      <c r="K21" s="430"/>
      <c r="L21" s="431"/>
      <c r="N21" s="430"/>
      <c r="O21" s="430"/>
      <c r="P21" s="430"/>
      <c r="Q21" s="430"/>
      <c r="R21" s="430"/>
      <c r="S21" s="430"/>
      <c r="T21" s="430"/>
    </row>
    <row r="22" spans="1:20" ht="20.100000000000001" customHeight="1">
      <c r="B22" s="979" t="s">
        <v>499</v>
      </c>
      <c r="C22" s="979"/>
      <c r="D22" s="980" t="str">
        <f>Capa!C8</f>
        <v>Av. Braz Leme, 2011</v>
      </c>
      <c r="E22" s="980"/>
      <c r="F22" s="980"/>
      <c r="G22" s="980"/>
      <c r="H22" s="980"/>
      <c r="I22" s="430"/>
      <c r="J22" s="430"/>
      <c r="K22" s="430"/>
      <c r="L22" s="431"/>
      <c r="N22" s="430"/>
      <c r="O22" s="430"/>
      <c r="P22" s="430"/>
      <c r="Q22" s="430"/>
      <c r="R22" s="430"/>
      <c r="S22" s="430"/>
      <c r="T22" s="430"/>
    </row>
    <row r="23" spans="1:20" ht="20.100000000000001" customHeight="1">
      <c r="B23" s="979"/>
      <c r="C23" s="979"/>
      <c r="D23" s="980"/>
      <c r="E23" s="980"/>
      <c r="F23" s="980"/>
      <c r="G23" s="980"/>
      <c r="H23" s="980"/>
      <c r="I23" s="430"/>
      <c r="J23" s="430"/>
      <c r="K23" s="430"/>
      <c r="L23" s="431"/>
      <c r="N23" s="430"/>
    </row>
    <row r="24" spans="1:20" ht="20.100000000000001" customHeight="1">
      <c r="B24" s="433"/>
      <c r="G24" s="433"/>
      <c r="H24" s="433"/>
      <c r="I24" s="430"/>
      <c r="J24" s="430"/>
      <c r="K24" s="430"/>
    </row>
    <row r="25" spans="1:20" ht="20.100000000000001" customHeight="1">
      <c r="B25" s="434"/>
      <c r="C25" s="981" t="s">
        <v>500</v>
      </c>
      <c r="D25" s="981"/>
      <c r="E25" s="982">
        <f>Capa!C4</f>
        <v>43216</v>
      </c>
      <c r="F25" s="982"/>
      <c r="G25" s="434"/>
      <c r="H25" s="434"/>
      <c r="I25" s="430"/>
      <c r="J25" s="430"/>
      <c r="K25" s="435"/>
      <c r="P25" s="430"/>
      <c r="Q25" s="430"/>
      <c r="R25" s="430"/>
      <c r="S25" s="430"/>
      <c r="T25" s="430"/>
    </row>
    <row r="26" spans="1:20" ht="20.100000000000001" customHeight="1">
      <c r="B26" s="434"/>
      <c r="C26" s="436"/>
      <c r="D26" s="436"/>
      <c r="E26" s="437"/>
      <c r="F26" s="438"/>
      <c r="G26" s="434"/>
      <c r="H26" s="434"/>
      <c r="I26" s="430"/>
      <c r="J26" s="430"/>
      <c r="R26" s="430"/>
      <c r="S26" s="430"/>
      <c r="T26" s="430"/>
    </row>
    <row r="27" spans="1:20" ht="20.100000000000001" customHeight="1">
      <c r="B27" s="427"/>
      <c r="C27" s="981" t="s">
        <v>501</v>
      </c>
      <c r="D27" s="981"/>
      <c r="E27" s="983">
        <f>DATE(YEAR(E25)+1,MONTH(E25),DAY(E25))</f>
        <v>43581</v>
      </c>
      <c r="F27" s="983"/>
      <c r="G27" s="427"/>
      <c r="H27" s="427"/>
      <c r="I27" s="430"/>
      <c r="J27" s="430"/>
      <c r="R27" s="430"/>
      <c r="S27" s="430"/>
      <c r="T27" s="430"/>
    </row>
    <row r="28" spans="1:20" ht="20.100000000000001" customHeight="1">
      <c r="C28" s="439"/>
      <c r="D28" s="439"/>
      <c r="E28" s="439"/>
      <c r="F28" s="439"/>
      <c r="G28" s="439"/>
      <c r="H28" s="439"/>
      <c r="I28" s="430"/>
      <c r="J28" s="430"/>
      <c r="T28" s="430"/>
    </row>
    <row r="29" spans="1:20" ht="20.100000000000001" customHeight="1">
      <c r="B29" s="977" t="str">
        <f>CONCATENATE("Certificamos que este equipamento apresenta performance de acordo com as normas da Portaria MS 453/98 da Secretaria de Vigilância Sanitária de 01/06/1998 e RE nº 64 de 04/04/2003")</f>
        <v>Certificamos que este equipamento apresenta performance de acordo com as normas da Portaria MS 453/98 da Secretaria de Vigilância Sanitária de 01/06/1998 e RE nº 64 de 04/04/2003</v>
      </c>
      <c r="C29" s="977"/>
      <c r="D29" s="977"/>
      <c r="E29" s="977"/>
      <c r="F29" s="977"/>
      <c r="G29" s="977"/>
      <c r="H29" s="977"/>
      <c r="T29" s="430"/>
    </row>
    <row r="30" spans="1:20" ht="20.100000000000001" customHeight="1">
      <c r="B30" s="977"/>
      <c r="C30" s="977"/>
      <c r="D30" s="977"/>
      <c r="E30" s="977"/>
      <c r="F30" s="977"/>
      <c r="G30" s="977"/>
      <c r="H30" s="977"/>
      <c r="T30" s="430"/>
    </row>
    <row r="31" spans="1:20" ht="20.100000000000001" customHeight="1">
      <c r="B31" s="977"/>
      <c r="C31" s="977"/>
      <c r="D31" s="977"/>
      <c r="E31" s="977"/>
      <c r="F31" s="977"/>
      <c r="G31" s="977"/>
      <c r="H31" s="977"/>
    </row>
    <row r="32" spans="1:20" ht="20.100000000000001" customHeight="1">
      <c r="B32" s="977"/>
      <c r="C32" s="977"/>
      <c r="D32" s="977"/>
      <c r="E32" s="977"/>
      <c r="F32" s="977"/>
      <c r="G32" s="977"/>
      <c r="H32" s="977"/>
    </row>
    <row r="33" spans="1:8" ht="20.100000000000001" customHeight="1"/>
    <row r="34" spans="1:8" ht="20.100000000000001" customHeight="1">
      <c r="A34" s="432"/>
    </row>
    <row r="35" spans="1:8" ht="20.100000000000001" customHeight="1"/>
    <row r="36" spans="1:8" ht="20.100000000000001" customHeight="1">
      <c r="B36" s="430"/>
      <c r="C36" s="430"/>
      <c r="D36" s="430"/>
      <c r="E36" s="430"/>
      <c r="F36" s="430"/>
      <c r="G36" s="430"/>
      <c r="H36" s="430"/>
    </row>
    <row r="37" spans="1:8" ht="20.100000000000001" customHeight="1">
      <c r="B37" s="430"/>
      <c r="C37" s="430"/>
      <c r="D37" s="430"/>
      <c r="E37" s="430"/>
      <c r="F37" s="430"/>
      <c r="G37" s="430"/>
      <c r="H37" s="430"/>
    </row>
    <row r="38" spans="1:8" ht="20.100000000000001" customHeight="1">
      <c r="B38" s="430"/>
      <c r="C38" s="430"/>
      <c r="D38" s="430"/>
      <c r="E38" s="430"/>
      <c r="F38" s="440" t="s">
        <v>502</v>
      </c>
      <c r="G38" s="430"/>
      <c r="H38" s="430"/>
    </row>
    <row r="39" spans="1:8" ht="20.100000000000001" customHeight="1">
      <c r="B39" s="441"/>
      <c r="F39" s="440" t="s">
        <v>503</v>
      </c>
    </row>
    <row r="40" spans="1:8" ht="20.100000000000001" customHeight="1">
      <c r="B40" s="441"/>
    </row>
    <row r="41" spans="1:8" ht="20.100000000000001" customHeight="1"/>
    <row r="42" spans="1:8" ht="20.100000000000001" customHeight="1"/>
    <row r="43" spans="1:8" ht="20.100000000000001" customHeight="1"/>
    <row r="44" spans="1:8" ht="20.100000000000001" customHeight="1"/>
    <row r="45" spans="1:8" ht="20.100000000000001" customHeight="1"/>
    <row r="46" spans="1:8" ht="20.100000000000001" customHeight="1">
      <c r="H46" s="441"/>
    </row>
    <row r="47" spans="1:8" ht="20.100000000000001" customHeight="1"/>
    <row r="48" spans="1:8"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sheetData>
  <mergeCells count="19">
    <mergeCell ref="O13:P13"/>
    <mergeCell ref="B15:C16"/>
    <mergeCell ref="D15:H16"/>
    <mergeCell ref="B17:C21"/>
    <mergeCell ref="D17:H21"/>
    <mergeCell ref="B29:H32"/>
    <mergeCell ref="D3:H3"/>
    <mergeCell ref="B22:C23"/>
    <mergeCell ref="D22:H23"/>
    <mergeCell ref="C25:D25"/>
    <mergeCell ref="E25:F25"/>
    <mergeCell ref="C27:D27"/>
    <mergeCell ref="E27:F27"/>
    <mergeCell ref="B13:C14"/>
    <mergeCell ref="D13:H14"/>
    <mergeCell ref="B9:C10"/>
    <mergeCell ref="D9:H10"/>
    <mergeCell ref="B11:C12"/>
    <mergeCell ref="D11:H12"/>
  </mergeCells>
  <printOptions horizontalCentered="1"/>
  <pageMargins left="0.37" right="0.23" top="1.7716535433070868" bottom="0.98425196850393704" header="0.51181102362204722" footer="0.51181102362204722"/>
  <pageSetup paperSize="9" scale="80" orientation="portrait" horizontalDpi="300" verticalDpi="300" r:id="rId1"/>
  <headerFooter alignWithMargins="0"/>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A1:G40"/>
  <sheetViews>
    <sheetView view="pageBreakPreview" topLeftCell="B1" zoomScale="90" zoomScaleNormal="100" zoomScaleSheetLayoutView="90" workbookViewId="0">
      <selection activeCell="G42" sqref="G42"/>
    </sheetView>
  </sheetViews>
  <sheetFormatPr defaultRowHeight="15.75"/>
  <cols>
    <col min="1" max="1" width="9.140625" style="357"/>
    <col min="2" max="2" width="24.85546875" style="358" customWidth="1"/>
    <col min="3" max="3" width="47" style="367" customWidth="1"/>
    <col min="4" max="16384" width="9.140625" style="357"/>
  </cols>
  <sheetData>
    <row r="1" spans="1:7" ht="18">
      <c r="A1" s="985" t="s">
        <v>146</v>
      </c>
      <c r="B1" s="985"/>
      <c r="C1" s="985"/>
    </row>
    <row r="2" spans="1:7">
      <c r="C2" s="359"/>
    </row>
    <row r="3" spans="1:7">
      <c r="C3" s="359"/>
    </row>
    <row r="4" spans="1:7">
      <c r="B4" s="360" t="s">
        <v>147</v>
      </c>
      <c r="C4" s="361">
        <f>'GABARITO DIGITAÇÃO'!B2</f>
        <v>43216</v>
      </c>
    </row>
    <row r="5" spans="1:7">
      <c r="B5" s="360"/>
      <c r="C5" s="362"/>
    </row>
    <row r="6" spans="1:7">
      <c r="B6" s="363" t="s">
        <v>148</v>
      </c>
      <c r="C6" s="364" t="str">
        <f>'GABARITO DIGITAÇÃO'!B6</f>
        <v>Grupo Fleury - Unidade Braz Leme</v>
      </c>
      <c r="D6" s="365"/>
    </row>
    <row r="7" spans="1:7">
      <c r="B7" s="360"/>
      <c r="C7" s="362"/>
      <c r="D7" s="365"/>
    </row>
    <row r="8" spans="1:7">
      <c r="B8" s="360" t="s">
        <v>149</v>
      </c>
      <c r="C8" s="366" t="str">
        <f>'GABARITO DIGITAÇÃO'!B7</f>
        <v>Av. Braz Leme, 2011</v>
      </c>
      <c r="D8" s="362"/>
      <c r="E8" s="362"/>
      <c r="F8" s="362"/>
      <c r="G8" s="362"/>
    </row>
    <row r="9" spans="1:7" ht="16.5" customHeight="1">
      <c r="B9" s="360"/>
      <c r="C9" s="364"/>
    </row>
    <row r="10" spans="1:7">
      <c r="B10" s="360" t="s">
        <v>181</v>
      </c>
      <c r="C10" s="362" t="str">
        <f>'GABARITO DIGITAÇÃO'!B8</f>
        <v>São Paulo - SP</v>
      </c>
    </row>
    <row r="11" spans="1:7">
      <c r="B11" s="360"/>
    </row>
    <row r="12" spans="1:7">
      <c r="B12" s="360" t="s">
        <v>205</v>
      </c>
      <c r="C12" s="367" t="str">
        <f>'GABARITO DIGITAÇÃO'!B9</f>
        <v>Dr. Shri Krishna Jayanthi - CRM: 90874</v>
      </c>
      <c r="D12" s="368"/>
      <c r="E12" s="368"/>
    </row>
    <row r="13" spans="1:7">
      <c r="B13" s="360"/>
      <c r="C13" s="362"/>
    </row>
    <row r="14" spans="1:7">
      <c r="B14" s="359" t="s">
        <v>150</v>
      </c>
      <c r="C14" s="362" t="str">
        <f>'GABARITO DIGITAÇÃO'!B10</f>
        <v>Raios X</v>
      </c>
    </row>
    <row r="15" spans="1:7">
      <c r="B15" s="360"/>
      <c r="C15" s="362"/>
    </row>
    <row r="16" spans="1:7">
      <c r="B16" s="359" t="s">
        <v>375</v>
      </c>
      <c r="C16" s="367" t="str">
        <f>'GABARITO DIGITAÇÃO'!B11</f>
        <v>Philips</v>
      </c>
    </row>
    <row r="17" spans="1:6">
      <c r="B17" s="359"/>
    </row>
    <row r="18" spans="1:6">
      <c r="B18" s="359" t="s">
        <v>151</v>
      </c>
      <c r="C18" s="367" t="str">
        <f>'GABARITO DIGITAÇÃO'!B12</f>
        <v>Compact Plus 800</v>
      </c>
    </row>
    <row r="19" spans="1:6">
      <c r="A19" s="369"/>
      <c r="B19" s="359"/>
    </row>
    <row r="20" spans="1:6" ht="16.5" customHeight="1">
      <c r="A20" s="369"/>
      <c r="B20" s="359" t="s">
        <v>188</v>
      </c>
      <c r="C20" s="367" t="str">
        <f>'GABARITO DIGITAÇÃO'!B13</f>
        <v>PACF8701001</v>
      </c>
    </row>
    <row r="21" spans="1:6">
      <c r="A21" s="369"/>
      <c r="B21" s="359"/>
    </row>
    <row r="22" spans="1:6">
      <c r="A22" s="369"/>
      <c r="B22" s="359" t="s">
        <v>328</v>
      </c>
      <c r="C22" s="367" t="str">
        <f>'GABARITO DIGITAÇÃO'!B14</f>
        <v>XRAY-0118</v>
      </c>
    </row>
    <row r="23" spans="1:6">
      <c r="A23" s="369"/>
      <c r="B23" s="359"/>
    </row>
    <row r="24" spans="1:6">
      <c r="A24" s="369"/>
      <c r="B24" s="359" t="s">
        <v>315</v>
      </c>
      <c r="C24" s="367">
        <f>'GABARITO DIGITAÇÃO'!B15</f>
        <v>2013</v>
      </c>
    </row>
    <row r="25" spans="1:6">
      <c r="A25" s="369"/>
      <c r="B25" s="359"/>
    </row>
    <row r="26" spans="1:6">
      <c r="A26" s="369"/>
      <c r="B26" s="360" t="s">
        <v>152</v>
      </c>
      <c r="C26" s="370" t="str">
        <f>'GABARITO DIGITAÇÃO'!B16</f>
        <v>1,5 mm Al</v>
      </c>
    </row>
    <row r="27" spans="1:6">
      <c r="A27" s="369"/>
      <c r="B27" s="360"/>
      <c r="C27" s="359"/>
    </row>
    <row r="28" spans="1:6">
      <c r="A28" s="369"/>
      <c r="B28" s="360" t="s">
        <v>153</v>
      </c>
      <c r="C28" s="362" t="str">
        <f>'GABARITO DIGITAÇÃO'!B17</f>
        <v>0,6 - 1,2 mm</v>
      </c>
    </row>
    <row r="29" spans="1:6">
      <c r="A29" s="369"/>
      <c r="B29" s="360"/>
      <c r="C29" s="362"/>
    </row>
    <row r="30" spans="1:6">
      <c r="A30" s="369"/>
      <c r="B30" s="360" t="s">
        <v>179</v>
      </c>
      <c r="C30" s="367">
        <f>'GABARITO DIGITAÇÃO'!B18</f>
        <v>150</v>
      </c>
    </row>
    <row r="31" spans="1:6">
      <c r="A31" s="369"/>
      <c r="B31" s="360"/>
    </row>
    <row r="32" spans="1:6" hidden="1">
      <c r="A32" s="369"/>
      <c r="B32" s="360" t="s">
        <v>349</v>
      </c>
      <c r="C32" s="367">
        <f>'GABARITO DIGITAÇÃO'!B19</f>
        <v>0</v>
      </c>
    </row>
    <row r="33" spans="1:4" hidden="1">
      <c r="A33" s="369"/>
      <c r="B33" s="360"/>
      <c r="C33" s="359"/>
    </row>
    <row r="34" spans="1:4">
      <c r="B34" s="360" t="s">
        <v>154</v>
      </c>
      <c r="C34" s="362" t="s">
        <v>345</v>
      </c>
    </row>
    <row r="35" spans="1:4">
      <c r="B35" s="360"/>
      <c r="C35" s="359"/>
    </row>
    <row r="36" spans="1:4">
      <c r="B36" s="360" t="s">
        <v>316</v>
      </c>
      <c r="C36" s="367" t="s">
        <v>285</v>
      </c>
    </row>
    <row r="38" spans="1:4">
      <c r="B38" s="360" t="s">
        <v>155</v>
      </c>
      <c r="C38" s="361">
        <v>43217.442164351851</v>
      </c>
    </row>
    <row r="39" spans="1:4" ht="15.75" customHeight="1">
      <c r="B39" s="360" t="s">
        <v>317</v>
      </c>
      <c r="C39" s="371" t="str">
        <f>'GABARITO DIGITAÇÃO'!B4</f>
        <v>003F</v>
      </c>
      <c r="D39" s="372"/>
    </row>
    <row r="40" spans="1:4">
      <c r="B40" s="373"/>
      <c r="C40" s="367" t="s">
        <v>640</v>
      </c>
    </row>
  </sheetData>
  <mergeCells count="1">
    <mergeCell ref="A1:C1"/>
  </mergeCells>
  <phoneticPr fontId="21" type="noConversion"/>
  <conditionalFormatting sqref="C39">
    <cfRule type="cellIs" dxfId="5" priority="4" operator="equal">
      <formula>""</formula>
    </cfRule>
  </conditionalFormatting>
  <conditionalFormatting sqref="C38">
    <cfRule type="cellIs" dxfId="4" priority="3" operator="equal">
      <formula>""</formula>
    </cfRule>
  </conditionalFormatting>
  <conditionalFormatting sqref="C20">
    <cfRule type="cellIs" dxfId="3" priority="2" operator="equal">
      <formula>""</formula>
    </cfRule>
  </conditionalFormatting>
  <conditionalFormatting sqref="C12">
    <cfRule type="cellIs" dxfId="2" priority="1" operator="equal">
      <formula>""</formula>
    </cfRule>
  </conditionalFormatting>
  <pageMargins left="0.78740157480314965" right="0.78740157480314965" top="1.7716535433070868" bottom="0.98425196850393704" header="0.51181102362204722" footer="0.51181102362204722"/>
  <pageSetup scale="96" orientation="portrait" r:id="rId1"/>
  <headerFooter alignWithMargins="0">
    <oddFooter>&amp;L&amp;8
&amp;F &amp;C1&amp;R______________
Renato  Dimenstein
Físico Responsável</oddFooter>
  </headerFooter>
  <drawing r:id="rId2"/>
  <legacyDrawing r:id="rId3"/>
  <legacyDrawingHF r:id="rId4"/>
  <controls>
    <mc:AlternateContent xmlns:mc="http://schemas.openxmlformats.org/markup-compatibility/2006">
      <mc:Choice Requires="x14">
        <control shapeId="22530" r:id="rId5" name="OcultarDados">
          <controlPr defaultSize="0" print="0" autoLine="0" autoPict="0" r:id="rId6">
            <anchor moveWithCells="1">
              <from>
                <xdr:col>3</xdr:col>
                <xdr:colOff>571500</xdr:colOff>
                <xdr:row>1</xdr:row>
                <xdr:rowOff>57150</xdr:rowOff>
              </from>
              <to>
                <xdr:col>6</xdr:col>
                <xdr:colOff>257175</xdr:colOff>
                <xdr:row>4</xdr:row>
                <xdr:rowOff>66675</xdr:rowOff>
              </to>
            </anchor>
          </controlPr>
        </control>
      </mc:Choice>
      <mc:Fallback>
        <control shapeId="22530" r:id="rId5" name="OcultarDado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L39"/>
  <sheetViews>
    <sheetView view="pageBreakPreview" zoomScale="80" zoomScaleNormal="75" zoomScaleSheetLayoutView="80" workbookViewId="0">
      <selection activeCell="G42" sqref="G42"/>
    </sheetView>
  </sheetViews>
  <sheetFormatPr defaultRowHeight="12.75"/>
  <cols>
    <col min="8" max="8" width="11.140625" customWidth="1"/>
    <col min="9" max="9" width="10.85546875" customWidth="1"/>
    <col min="12" max="12" width="16.140625" customWidth="1"/>
  </cols>
  <sheetData>
    <row r="1" spans="1:12" ht="26.25">
      <c r="A1" s="73" t="s">
        <v>156</v>
      </c>
      <c r="B1" s="74"/>
      <c r="C1" s="74"/>
      <c r="D1" s="74"/>
      <c r="E1" s="74"/>
      <c r="F1" s="74"/>
      <c r="G1" s="74"/>
      <c r="H1" s="75"/>
      <c r="I1" s="75"/>
      <c r="J1" s="75"/>
      <c r="K1" s="75"/>
      <c r="L1" s="75"/>
    </row>
    <row r="2" spans="1:12" ht="26.25">
      <c r="A2" s="74"/>
      <c r="B2" s="74"/>
      <c r="C2" s="74"/>
      <c r="D2" s="74"/>
      <c r="E2" s="74"/>
      <c r="F2" s="74"/>
      <c r="G2" s="74"/>
      <c r="H2" s="75"/>
      <c r="I2" s="75"/>
      <c r="J2" s="75"/>
      <c r="K2" s="75"/>
      <c r="L2" s="75"/>
    </row>
    <row r="3" spans="1:12" ht="20.100000000000001" customHeight="1">
      <c r="A3" s="986"/>
      <c r="B3" s="986"/>
      <c r="C3" s="986"/>
      <c r="D3" s="986"/>
      <c r="E3" s="986"/>
      <c r="F3" s="986"/>
      <c r="G3" s="986"/>
      <c r="H3" s="986"/>
      <c r="I3" s="986"/>
      <c r="J3" s="986"/>
      <c r="K3" s="986"/>
      <c r="L3" s="986"/>
    </row>
    <row r="4" spans="1:12" ht="20.100000000000001" customHeight="1">
      <c r="A4" s="986"/>
      <c r="B4" s="986"/>
      <c r="C4" s="986"/>
      <c r="D4" s="986"/>
      <c r="E4" s="986"/>
      <c r="F4" s="986"/>
      <c r="G4" s="986"/>
      <c r="H4" s="986"/>
      <c r="I4" s="986"/>
      <c r="J4" s="986"/>
      <c r="K4" s="986"/>
      <c r="L4" s="986"/>
    </row>
    <row r="5" spans="1:12" ht="20.100000000000001" customHeight="1">
      <c r="A5" s="986"/>
      <c r="B5" s="986"/>
      <c r="C5" s="986"/>
      <c r="D5" s="986"/>
      <c r="E5" s="986"/>
      <c r="F5" s="986"/>
      <c r="G5" s="986"/>
      <c r="H5" s="986"/>
      <c r="I5" s="986"/>
      <c r="J5" s="986"/>
      <c r="K5" s="986"/>
      <c r="L5" s="986"/>
    </row>
    <row r="6" spans="1:12" ht="26.25">
      <c r="A6" s="74"/>
      <c r="B6" s="74"/>
      <c r="C6" s="74"/>
      <c r="D6" s="74"/>
      <c r="E6" s="74"/>
      <c r="F6" s="74"/>
      <c r="G6" s="74"/>
      <c r="H6" s="75"/>
      <c r="I6" s="75"/>
      <c r="J6" s="75"/>
      <c r="K6" s="75"/>
      <c r="L6" s="75"/>
    </row>
    <row r="7" spans="1:12" ht="16.5" customHeight="1">
      <c r="A7" s="74"/>
      <c r="B7" s="74"/>
      <c r="C7" s="74"/>
      <c r="D7" s="74"/>
      <c r="E7" s="74"/>
      <c r="F7" s="74"/>
      <c r="G7" s="74"/>
      <c r="H7" s="75"/>
      <c r="I7" s="75"/>
      <c r="J7" s="75"/>
      <c r="K7" s="75"/>
      <c r="L7" s="75"/>
    </row>
    <row r="8" spans="1:12" ht="26.25" customHeight="1">
      <c r="A8" s="987" t="s">
        <v>157</v>
      </c>
      <c r="B8" s="987"/>
      <c r="C8" s="987"/>
      <c r="D8" s="987"/>
      <c r="E8" s="987"/>
      <c r="F8" s="987"/>
      <c r="G8" s="987"/>
      <c r="H8" s="987"/>
      <c r="I8" s="987"/>
      <c r="J8" s="987"/>
      <c r="K8" s="376"/>
      <c r="L8" s="376"/>
    </row>
    <row r="9" spans="1:12" ht="26.25">
      <c r="A9" s="74"/>
      <c r="B9" s="74"/>
      <c r="C9" s="74"/>
      <c r="D9" s="74"/>
      <c r="E9" s="74"/>
      <c r="F9" s="74"/>
      <c r="G9" s="74"/>
      <c r="H9" s="75"/>
      <c r="I9" s="75"/>
      <c r="J9" s="75"/>
      <c r="K9" s="75"/>
      <c r="L9" s="75"/>
    </row>
    <row r="10" spans="1:12" s="76" customFormat="1" ht="26.25">
      <c r="A10" s="986"/>
      <c r="B10" s="986"/>
      <c r="C10" s="986"/>
      <c r="D10" s="986"/>
      <c r="E10" s="986"/>
      <c r="F10" s="986"/>
      <c r="G10" s="986"/>
      <c r="H10" s="986"/>
      <c r="I10" s="986"/>
      <c r="J10" s="986"/>
      <c r="K10" s="986"/>
      <c r="L10" s="986"/>
    </row>
    <row r="11" spans="1:12" s="76" customFormat="1" ht="26.25">
      <c r="A11" s="986"/>
      <c r="B11" s="986"/>
      <c r="C11" s="986"/>
      <c r="D11" s="986"/>
      <c r="E11" s="986"/>
      <c r="F11" s="986"/>
      <c r="G11" s="986"/>
      <c r="H11" s="986"/>
      <c r="I11" s="986"/>
      <c r="J11" s="986"/>
      <c r="K11" s="986"/>
      <c r="L11" s="986"/>
    </row>
    <row r="12" spans="1:12" s="76" customFormat="1" ht="26.25">
      <c r="A12" s="986"/>
      <c r="B12" s="986"/>
      <c r="C12" s="986"/>
      <c r="D12" s="986"/>
      <c r="E12" s="986"/>
      <c r="F12" s="986"/>
      <c r="G12" s="986"/>
      <c r="H12" s="986"/>
      <c r="I12" s="986"/>
      <c r="J12" s="986"/>
      <c r="K12" s="986"/>
      <c r="L12" s="986"/>
    </row>
    <row r="13" spans="1:12" s="76" customFormat="1" ht="26.25">
      <c r="A13" s="74"/>
      <c r="B13" s="74"/>
      <c r="C13" s="74"/>
      <c r="D13" s="74"/>
      <c r="E13" s="74"/>
      <c r="F13" s="74"/>
      <c r="G13" s="74"/>
      <c r="H13" s="75"/>
      <c r="I13" s="75"/>
      <c r="J13" s="75"/>
      <c r="K13" s="75"/>
      <c r="L13" s="75"/>
    </row>
    <row r="14" spans="1:12" s="76" customFormat="1" ht="26.25">
      <c r="A14" s="986"/>
      <c r="B14" s="986"/>
      <c r="C14" s="986"/>
      <c r="D14" s="986"/>
      <c r="E14" s="986"/>
      <c r="F14" s="986"/>
      <c r="G14" s="986"/>
      <c r="H14" s="986"/>
      <c r="I14" s="986"/>
      <c r="J14" s="986"/>
      <c r="K14" s="986"/>
      <c r="L14" s="986"/>
    </row>
    <row r="15" spans="1:12" s="76" customFormat="1" ht="26.25">
      <c r="A15" s="986"/>
      <c r="B15" s="986"/>
      <c r="C15" s="986"/>
      <c r="D15" s="986"/>
      <c r="E15" s="986"/>
      <c r="F15" s="986"/>
      <c r="G15" s="986"/>
      <c r="H15" s="986"/>
      <c r="I15" s="986"/>
      <c r="J15" s="986"/>
      <c r="K15" s="986"/>
      <c r="L15" s="986"/>
    </row>
    <row r="16" spans="1:12" s="76" customFormat="1" ht="26.25">
      <c r="A16" s="74"/>
      <c r="B16" s="74"/>
      <c r="C16" s="74"/>
      <c r="D16" s="74"/>
      <c r="E16" s="74"/>
      <c r="F16" s="74"/>
      <c r="G16" s="74"/>
      <c r="H16" s="75"/>
      <c r="I16" s="75"/>
      <c r="J16" s="75"/>
      <c r="K16" s="75"/>
      <c r="L16" s="75"/>
    </row>
    <row r="17" spans="1:12" s="76" customFormat="1" ht="26.25">
      <c r="A17" s="986"/>
      <c r="B17" s="986"/>
      <c r="C17" s="986"/>
      <c r="D17" s="986"/>
      <c r="E17" s="986"/>
      <c r="F17" s="986"/>
      <c r="G17" s="986"/>
      <c r="H17" s="986"/>
      <c r="I17" s="986"/>
      <c r="J17" s="986"/>
      <c r="K17" s="986"/>
      <c r="L17" s="986"/>
    </row>
    <row r="18" spans="1:12" s="76" customFormat="1" ht="39" customHeight="1">
      <c r="A18" s="986"/>
      <c r="B18" s="986"/>
      <c r="C18" s="986"/>
      <c r="D18" s="986"/>
      <c r="E18" s="986"/>
      <c r="F18" s="986"/>
      <c r="G18" s="986"/>
      <c r="H18" s="986"/>
      <c r="I18" s="986"/>
      <c r="J18" s="986"/>
      <c r="K18" s="986"/>
      <c r="L18" s="986"/>
    </row>
    <row r="19" spans="1:12" s="76" customFormat="1" ht="16.5" customHeight="1">
      <c r="A19" s="265"/>
      <c r="B19" s="74"/>
      <c r="C19" s="74"/>
      <c r="D19" s="74"/>
      <c r="E19" s="74"/>
      <c r="F19" s="74"/>
      <c r="G19" s="74"/>
      <c r="H19" s="74"/>
      <c r="I19" s="74"/>
      <c r="J19" s="74"/>
      <c r="K19" s="74"/>
      <c r="L19" s="74"/>
    </row>
    <row r="20" spans="1:12" ht="26.25">
      <c r="A20" s="73" t="s">
        <v>158</v>
      </c>
      <c r="B20" s="77"/>
      <c r="C20" s="77"/>
      <c r="D20" s="77"/>
      <c r="E20" s="77"/>
      <c r="F20" s="77"/>
      <c r="G20" s="77"/>
      <c r="H20" s="77"/>
      <c r="I20" s="77"/>
      <c r="J20" s="75"/>
      <c r="K20" s="75"/>
      <c r="L20" s="75"/>
    </row>
    <row r="21" spans="1:12" ht="26.25">
      <c r="A21" s="77"/>
      <c r="B21" s="77"/>
      <c r="C21" s="77"/>
      <c r="D21" s="77"/>
      <c r="E21" s="77"/>
      <c r="F21" s="77"/>
      <c r="G21" s="77"/>
      <c r="H21" s="77"/>
      <c r="I21" s="77"/>
      <c r="J21" s="75"/>
      <c r="K21" s="75"/>
      <c r="L21" s="75"/>
    </row>
    <row r="22" spans="1:12" s="76" customFormat="1" ht="26.25">
      <c r="A22" s="986"/>
      <c r="B22" s="986"/>
      <c r="C22" s="986"/>
      <c r="D22" s="986"/>
      <c r="E22" s="986"/>
      <c r="F22" s="986"/>
      <c r="G22" s="986"/>
      <c r="H22" s="986"/>
      <c r="I22" s="986"/>
      <c r="J22" s="986"/>
      <c r="K22" s="986"/>
      <c r="L22" s="986"/>
    </row>
    <row r="23" spans="1:12" s="76" customFormat="1" ht="26.25">
      <c r="A23" s="986"/>
      <c r="B23" s="986"/>
      <c r="C23" s="986"/>
      <c r="D23" s="986"/>
      <c r="E23" s="986"/>
      <c r="F23" s="986"/>
      <c r="G23" s="986"/>
      <c r="H23" s="986"/>
      <c r="I23" s="986"/>
      <c r="J23" s="986"/>
      <c r="K23" s="986"/>
      <c r="L23" s="986"/>
    </row>
    <row r="24" spans="1:12" s="76" customFormat="1" ht="26.25">
      <c r="A24" s="986"/>
      <c r="B24" s="986"/>
      <c r="C24" s="986"/>
      <c r="D24" s="986"/>
      <c r="E24" s="986"/>
      <c r="F24" s="986"/>
      <c r="G24" s="986"/>
      <c r="H24" s="986"/>
      <c r="I24" s="986"/>
      <c r="J24" s="986"/>
      <c r="K24" s="986"/>
      <c r="L24" s="986"/>
    </row>
    <row r="25" spans="1:12" s="76" customFormat="1" ht="26.25">
      <c r="A25" s="986"/>
      <c r="B25" s="986"/>
      <c r="C25" s="986"/>
      <c r="D25" s="986"/>
      <c r="E25" s="986"/>
      <c r="F25" s="986"/>
      <c r="G25" s="986"/>
      <c r="H25" s="986"/>
      <c r="I25" s="986"/>
      <c r="J25" s="75"/>
      <c r="K25" s="75"/>
      <c r="L25" s="75"/>
    </row>
    <row r="26" spans="1:12" ht="23.25">
      <c r="A26" s="78"/>
      <c r="B26" s="78"/>
      <c r="C26" s="78"/>
      <c r="D26" s="78"/>
      <c r="E26" s="78"/>
      <c r="F26" s="78"/>
      <c r="G26" s="78"/>
      <c r="H26" s="78"/>
      <c r="I26" s="78"/>
    </row>
    <row r="27" spans="1:12" ht="23.25">
      <c r="A27" s="78"/>
      <c r="B27" s="78"/>
      <c r="C27" s="78"/>
      <c r="D27" s="78"/>
      <c r="E27" s="78"/>
      <c r="F27" s="78"/>
      <c r="G27" s="78"/>
      <c r="H27" s="78"/>
      <c r="I27" s="78"/>
    </row>
    <row r="28" spans="1:12" ht="23.25">
      <c r="B28" s="72"/>
      <c r="C28" s="78"/>
      <c r="D28" s="78"/>
      <c r="E28" s="78"/>
      <c r="F28" s="78"/>
      <c r="G28" s="78"/>
      <c r="H28" s="78"/>
      <c r="I28" s="78"/>
    </row>
    <row r="29" spans="1:12" ht="25.5">
      <c r="A29" s="79"/>
      <c r="B29" s="80"/>
      <c r="C29" s="78"/>
      <c r="D29" s="78"/>
      <c r="E29" s="78"/>
      <c r="F29" s="78"/>
      <c r="G29" s="78"/>
      <c r="H29" s="78"/>
      <c r="I29" s="78"/>
    </row>
    <row r="30" spans="1:12" ht="23.25">
      <c r="B30" s="80"/>
      <c r="C30" s="78"/>
      <c r="D30" s="78"/>
      <c r="E30" s="78"/>
      <c r="F30" s="78"/>
      <c r="G30" s="78"/>
      <c r="H30" s="78"/>
      <c r="I30" s="78"/>
    </row>
    <row r="31" spans="1:12" ht="23.25">
      <c r="A31" s="197"/>
      <c r="B31" s="80"/>
      <c r="C31" s="78"/>
      <c r="D31" s="78"/>
      <c r="E31" s="78"/>
      <c r="F31" s="78"/>
      <c r="G31" s="78"/>
      <c r="H31" s="78"/>
      <c r="I31" s="78"/>
    </row>
    <row r="32" spans="1:12" ht="23.25">
      <c r="A32" s="81"/>
      <c r="B32" s="81"/>
      <c r="C32" s="81"/>
      <c r="D32" s="81"/>
      <c r="E32" s="81"/>
      <c r="F32" s="81"/>
      <c r="G32" s="81"/>
      <c r="H32" s="81"/>
      <c r="I32" s="81"/>
    </row>
    <row r="33" spans="1:9" ht="23.25">
      <c r="A33" s="81"/>
      <c r="B33" s="81"/>
      <c r="C33" s="81"/>
      <c r="D33" s="81"/>
      <c r="E33" s="81"/>
      <c r="F33" s="81"/>
      <c r="G33" s="81"/>
      <c r="H33" s="81"/>
      <c r="I33" s="81"/>
    </row>
    <row r="34" spans="1:9" ht="18.75">
      <c r="A34" s="82"/>
      <c r="B34" s="82"/>
      <c r="C34" s="82"/>
      <c r="D34" s="82"/>
      <c r="E34" s="82"/>
      <c r="F34" s="82"/>
      <c r="G34" s="82"/>
      <c r="H34" s="82"/>
      <c r="I34" s="82"/>
    </row>
    <row r="35" spans="1:9" ht="18.75">
      <c r="A35" s="82"/>
      <c r="B35" s="82"/>
      <c r="C35" s="82"/>
      <c r="D35" s="82"/>
      <c r="E35" s="82"/>
      <c r="F35" s="82"/>
      <c r="G35" s="82"/>
      <c r="H35" s="82"/>
      <c r="I35" s="82"/>
    </row>
    <row r="36" spans="1:9" ht="18.75">
      <c r="A36" s="82"/>
      <c r="B36" s="82"/>
      <c r="C36" s="82"/>
      <c r="D36" s="82"/>
      <c r="E36" s="82"/>
      <c r="F36" s="82"/>
      <c r="G36" s="82"/>
      <c r="H36" s="82"/>
      <c r="I36" s="82"/>
    </row>
    <row r="37" spans="1:9" ht="18.75">
      <c r="A37" s="82"/>
      <c r="B37" s="82"/>
      <c r="C37" s="82"/>
      <c r="D37" s="82"/>
      <c r="E37" s="82"/>
      <c r="F37" s="82"/>
      <c r="G37" s="82"/>
      <c r="H37" s="82"/>
      <c r="I37" s="82"/>
    </row>
    <row r="38" spans="1:9" ht="18.75">
      <c r="A38" s="82"/>
      <c r="B38" s="82"/>
      <c r="C38" s="82"/>
      <c r="D38" s="258"/>
      <c r="E38" s="82"/>
      <c r="F38" s="82"/>
      <c r="G38" s="82"/>
      <c r="H38" s="82"/>
      <c r="I38" s="82"/>
    </row>
    <row r="39" spans="1:9" ht="18.75">
      <c r="A39" s="82"/>
      <c r="B39" s="82"/>
      <c r="C39" s="82"/>
      <c r="D39" s="82"/>
      <c r="E39" s="82"/>
      <c r="F39" s="82"/>
      <c r="G39" s="82"/>
      <c r="H39" s="82"/>
      <c r="I39" s="82"/>
    </row>
  </sheetData>
  <mergeCells count="13">
    <mergeCell ref="A14:L14"/>
    <mergeCell ref="A3:L5"/>
    <mergeCell ref="A10:L10"/>
    <mergeCell ref="A11:L11"/>
    <mergeCell ref="A12:L12"/>
    <mergeCell ref="A8:J8"/>
    <mergeCell ref="A15:L15"/>
    <mergeCell ref="A17:L17"/>
    <mergeCell ref="A25:I25"/>
    <mergeCell ref="A18:L18"/>
    <mergeCell ref="A22:L22"/>
    <mergeCell ref="A23:L23"/>
    <mergeCell ref="A24:L24"/>
  </mergeCells>
  <phoneticPr fontId="21" type="noConversion"/>
  <pageMargins left="0.78740157480314965" right="0.78740157480314965" top="1.7716535433070868" bottom="0.98425196850393704" header="0.51181102362204722" footer="0.51181102362204722"/>
  <pageSetup scale="90" orientation="portrait" r:id="rId1"/>
  <headerFooter alignWithMargins="0">
    <oddFooter>&amp;L&amp;8
&amp;F &amp;C2</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dimension ref="A1:I57"/>
  <sheetViews>
    <sheetView view="pageBreakPreview" zoomScale="90" zoomScaleNormal="75" zoomScaleSheetLayoutView="90" workbookViewId="0">
      <selection activeCell="G42" sqref="G42"/>
    </sheetView>
  </sheetViews>
  <sheetFormatPr defaultColWidth="11.85546875" defaultRowHeight="15.75" customHeight="1"/>
  <cols>
    <col min="1" max="1" width="18.7109375" style="6" customWidth="1"/>
    <col min="2" max="2" width="12" style="6" customWidth="1"/>
    <col min="3" max="3" width="10.42578125" style="6" customWidth="1"/>
    <col min="4" max="4" width="15.5703125" style="6" customWidth="1"/>
    <col min="5" max="5" width="6.42578125" style="6" customWidth="1"/>
    <col min="6" max="6" width="25.140625" style="6" customWidth="1"/>
    <col min="7" max="7" width="13" style="6" customWidth="1"/>
    <col min="8" max="8" width="16.140625" style="12" customWidth="1"/>
    <col min="9" max="12" width="11.85546875" style="6"/>
    <col min="13" max="13" width="17.140625" style="6" customWidth="1"/>
    <col min="14" max="16384" width="11.85546875" style="6"/>
  </cols>
  <sheetData>
    <row r="1" spans="1:9" ht="15.75" customHeight="1">
      <c r="A1" s="1027" t="s">
        <v>134</v>
      </c>
      <c r="B1" s="1027"/>
      <c r="C1" s="1027"/>
      <c r="D1" s="1027"/>
      <c r="E1" s="1027"/>
      <c r="F1" s="1027"/>
      <c r="G1" s="1027"/>
      <c r="H1" s="270"/>
      <c r="I1" s="159"/>
    </row>
    <row r="3" spans="1:9" ht="15.75" customHeight="1">
      <c r="A3" s="18" t="s">
        <v>642</v>
      </c>
      <c r="B3" s="18"/>
    </row>
    <row r="4" spans="1:9" ht="15.75" customHeight="1">
      <c r="A4" s="1036" t="s">
        <v>216</v>
      </c>
      <c r="B4" s="1036"/>
      <c r="C4" s="10"/>
      <c r="D4" s="10"/>
    </row>
    <row r="5" spans="1:9" ht="15.75" customHeight="1">
      <c r="A5" s="20"/>
      <c r="B5" s="20"/>
      <c r="C5" s="10"/>
      <c r="D5" s="10"/>
      <c r="E5" s="10"/>
    </row>
    <row r="6" spans="1:9" ht="15.75" customHeight="1">
      <c r="A6" s="1033" t="s">
        <v>150</v>
      </c>
      <c r="B6" s="1034"/>
      <c r="C6" s="1035"/>
      <c r="D6" s="477" t="str">
        <f>'GABARITO DIGITAÇÃO'!B24</f>
        <v>Observações</v>
      </c>
      <c r="E6" s="10"/>
      <c r="F6" s="55" t="s">
        <v>11</v>
      </c>
      <c r="G6" s="55" t="s">
        <v>352</v>
      </c>
      <c r="H6" s="33" t="s">
        <v>354</v>
      </c>
    </row>
    <row r="7" spans="1:9" ht="15.75" customHeight="1">
      <c r="A7" s="1015" t="s">
        <v>4</v>
      </c>
      <c r="B7" s="1028"/>
      <c r="C7" s="1029"/>
      <c r="D7" s="478" t="str">
        <f>'GABARITO DIGITAÇÃO'!B25</f>
        <v>ok</v>
      </c>
      <c r="E7" s="914" t="s">
        <v>335</v>
      </c>
      <c r="F7" s="26" t="s">
        <v>12</v>
      </c>
      <c r="G7" s="173">
        <f>'GABARITO DIGITAÇÃO'!E28</f>
        <v>5</v>
      </c>
      <c r="H7" s="13" t="str">
        <f>IF(G7&gt;=1,"Satisfatório","Providenciar")</f>
        <v>Satisfatório</v>
      </c>
    </row>
    <row r="8" spans="1:9" ht="15.75" customHeight="1">
      <c r="A8" s="1015" t="s">
        <v>5</v>
      </c>
      <c r="B8" s="1028"/>
      <c r="C8" s="1029"/>
      <c r="D8" s="478" t="str">
        <f>'GABARITO DIGITAÇÃO'!B26</f>
        <v>ok</v>
      </c>
      <c r="E8" s="914" t="s">
        <v>335</v>
      </c>
      <c r="F8" s="26" t="s">
        <v>15</v>
      </c>
      <c r="G8" s="173">
        <f>'GABARITO DIGITAÇÃO'!E29</f>
        <v>2</v>
      </c>
      <c r="H8" s="295" t="str">
        <f>IF(G8&gt;=1,"Satisfatório","Providenciar")</f>
        <v>Satisfatório</v>
      </c>
    </row>
    <row r="9" spans="1:9" ht="15.75" customHeight="1">
      <c r="A9" s="1015" t="s">
        <v>6</v>
      </c>
      <c r="B9" s="1028"/>
      <c r="C9" s="1029"/>
      <c r="D9" s="478" t="str">
        <f>'GABARITO DIGITAÇÃO'!B27</f>
        <v>ok</v>
      </c>
      <c r="F9" s="26" t="s">
        <v>14</v>
      </c>
      <c r="G9" s="173" t="str">
        <f>'GABARITO DIGITAÇÃO'!E30</f>
        <v>--</v>
      </c>
      <c r="H9" s="173" t="s">
        <v>346</v>
      </c>
    </row>
    <row r="10" spans="1:9" ht="15.75" customHeight="1">
      <c r="A10" s="1015" t="s">
        <v>543</v>
      </c>
      <c r="B10" s="1028"/>
      <c r="C10" s="1029"/>
      <c r="D10" s="478" t="str">
        <f>'GABARITO DIGITAÇÃO'!B28</f>
        <v>ok</v>
      </c>
      <c r="F10" s="26" t="s">
        <v>13</v>
      </c>
      <c r="G10" s="173" t="str">
        <f>'GABARITO DIGITAÇÃO'!E31</f>
        <v>--</v>
      </c>
      <c r="H10" s="173" t="s">
        <v>346</v>
      </c>
    </row>
    <row r="11" spans="1:9" ht="15.75" customHeight="1" thickBot="1">
      <c r="A11" s="1039" t="s">
        <v>544</v>
      </c>
      <c r="B11" s="1040"/>
      <c r="C11" s="1041"/>
      <c r="D11" s="217" t="str">
        <f>'GABARITO DIGITAÇÃO'!B29</f>
        <v>ok</v>
      </c>
      <c r="E11" s="166"/>
      <c r="F11" s="26" t="s">
        <v>16</v>
      </c>
      <c r="G11" s="173">
        <f>'GABARITO DIGITAÇÃO'!E32</f>
        <v>7</v>
      </c>
      <c r="H11" s="173" t="s">
        <v>346</v>
      </c>
    </row>
    <row r="12" spans="1:9" ht="15.75" customHeight="1">
      <c r="A12" s="1042" t="s">
        <v>546</v>
      </c>
      <c r="B12" s="1043"/>
      <c r="C12" s="1044"/>
      <c r="D12" s="484" t="str">
        <f>'GABARITO DIGITAÇÃO'!B30</f>
        <v>Observações</v>
      </c>
      <c r="E12" s="166"/>
      <c r="F12" s="26" t="s">
        <v>17</v>
      </c>
      <c r="G12" s="173" t="str">
        <f>'GABARITO DIGITAÇÃO'!E33</f>
        <v>--</v>
      </c>
      <c r="H12" s="173" t="s">
        <v>346</v>
      </c>
    </row>
    <row r="13" spans="1:9" ht="15.75" customHeight="1">
      <c r="A13" s="1030" t="s">
        <v>7</v>
      </c>
      <c r="B13" s="1031"/>
      <c r="C13" s="1032"/>
      <c r="D13" s="478" t="str">
        <f>'GABARITO DIGITAÇÃO'!B31</f>
        <v>ok</v>
      </c>
      <c r="E13" s="166"/>
      <c r="F13" s="26" t="s">
        <v>18</v>
      </c>
      <c r="G13" s="173" t="str">
        <f>'GABARITO DIGITAÇÃO'!E34</f>
        <v>--</v>
      </c>
      <c r="H13" s="173" t="s">
        <v>346</v>
      </c>
    </row>
    <row r="14" spans="1:9" ht="15.75" customHeight="1">
      <c r="A14" s="1030" t="s">
        <v>8</v>
      </c>
      <c r="B14" s="1031"/>
      <c r="C14" s="1032"/>
      <c r="D14" s="478" t="str">
        <f>'GABARITO DIGITAÇÃO'!B32</f>
        <v>ok</v>
      </c>
      <c r="E14" s="166"/>
      <c r="F14" s="26" t="s">
        <v>19</v>
      </c>
      <c r="G14" s="173" t="str">
        <f>'GABARITO DIGITAÇÃO'!E35</f>
        <v>--</v>
      </c>
      <c r="H14" s="173" t="s">
        <v>346</v>
      </c>
    </row>
    <row r="15" spans="1:9" ht="15.75" customHeight="1">
      <c r="A15" s="1030" t="s">
        <v>231</v>
      </c>
      <c r="B15" s="1031"/>
      <c r="C15" s="1032"/>
      <c r="D15" s="478" t="str">
        <f>'GABARITO DIGITAÇÃO'!B33</f>
        <v>ok</v>
      </c>
      <c r="F15" s="26" t="s">
        <v>20</v>
      </c>
      <c r="G15" s="173" t="str">
        <f>'GABARITO DIGITAÇÃO'!E36</f>
        <v>--</v>
      </c>
      <c r="H15" s="173" t="s">
        <v>346</v>
      </c>
    </row>
    <row r="16" spans="1:9" ht="15.75" customHeight="1">
      <c r="A16" s="1030" t="s">
        <v>545</v>
      </c>
      <c r="B16" s="1031"/>
      <c r="C16" s="1032"/>
      <c r="D16" s="478" t="str">
        <f>'GABARITO DIGITAÇÃO'!B34</f>
        <v>ok</v>
      </c>
      <c r="F16" s="26" t="s">
        <v>21</v>
      </c>
      <c r="G16" s="173" t="str">
        <f>'GABARITO DIGITAÇÃO'!E37</f>
        <v>--</v>
      </c>
      <c r="H16" s="173" t="s">
        <v>346</v>
      </c>
    </row>
    <row r="17" spans="1:8" ht="15.75" customHeight="1" thickBot="1">
      <c r="A17" s="1024" t="s">
        <v>239</v>
      </c>
      <c r="B17" s="1025"/>
      <c r="C17" s="1026"/>
      <c r="D17" s="217" t="str">
        <f>'GABARITO DIGITAÇÃO'!B35</f>
        <v>ok</v>
      </c>
      <c r="F17" s="26" t="s">
        <v>284</v>
      </c>
      <c r="G17" s="173" t="str">
        <f>'GABARITO DIGITAÇÃO'!E38</f>
        <v>--</v>
      </c>
      <c r="H17" s="173" t="s">
        <v>346</v>
      </c>
    </row>
    <row r="18" spans="1:8" ht="15.75" customHeight="1">
      <c r="A18" s="1002" t="s">
        <v>557</v>
      </c>
      <c r="B18" s="1003"/>
      <c r="C18" s="1004"/>
      <c r="D18" s="483" t="str">
        <f>'GABARITO DIGITAÇÃO'!B36</f>
        <v>Observações</v>
      </c>
      <c r="E18" s="166"/>
      <c r="F18" s="121" t="s">
        <v>336</v>
      </c>
    </row>
    <row r="19" spans="1:8" ht="15.75" customHeight="1" thickBot="1">
      <c r="A19" s="1009" t="s">
        <v>548</v>
      </c>
      <c r="B19" s="1010"/>
      <c r="C19" s="1011"/>
      <c r="D19" s="485" t="str">
        <f>'GABARITO DIGITAÇÃO'!B37</f>
        <v>N/A</v>
      </c>
      <c r="E19" s="19"/>
    </row>
    <row r="20" spans="1:8" ht="15.75" customHeight="1" thickBot="1">
      <c r="A20" s="1002" t="s">
        <v>558</v>
      </c>
      <c r="B20" s="1003"/>
      <c r="C20" s="1004"/>
      <c r="D20" s="483" t="str">
        <f>'GABARITO DIGITAÇÃO'!B38</f>
        <v>Observações</v>
      </c>
      <c r="E20" s="19"/>
    </row>
    <row r="21" spans="1:8" ht="15.75" customHeight="1">
      <c r="A21" s="1012" t="s">
        <v>432</v>
      </c>
      <c r="B21" s="1012"/>
      <c r="C21" s="1012"/>
      <c r="D21" s="868" t="str">
        <f>'GABARITO DIGITAÇÃO'!B39</f>
        <v>N/A</v>
      </c>
      <c r="E21" s="19"/>
      <c r="F21" s="988" t="s">
        <v>330</v>
      </c>
      <c r="G21" s="989"/>
    </row>
    <row r="22" spans="1:8" ht="15.75" customHeight="1" thickBot="1">
      <c r="A22" s="1012" t="s">
        <v>549</v>
      </c>
      <c r="B22" s="1012"/>
      <c r="C22" s="1012"/>
      <c r="D22" s="868" t="str">
        <f>'GABARITO DIGITAÇÃO'!B40</f>
        <v>N/A</v>
      </c>
      <c r="E22" s="19"/>
      <c r="F22" s="1037" t="str">
        <f>'GABARITO DIGITAÇÃO'!D25</f>
        <v>Satisfatório</v>
      </c>
      <c r="G22" s="1038"/>
    </row>
    <row r="23" spans="1:8" ht="33" customHeight="1">
      <c r="A23" s="1019" t="s">
        <v>550</v>
      </c>
      <c r="B23" s="1020"/>
      <c r="C23" s="1021"/>
      <c r="D23" s="868" t="str">
        <f>'GABARITO DIGITAÇÃO'!B41</f>
        <v>N/A</v>
      </c>
      <c r="E23" s="299"/>
    </row>
    <row r="24" spans="1:8" ht="32.25" customHeight="1">
      <c r="A24" s="1006" t="s">
        <v>551</v>
      </c>
      <c r="B24" s="1007"/>
      <c r="C24" s="1008"/>
      <c r="D24" s="868" t="str">
        <f>'GABARITO DIGITAÇÃO'!B42</f>
        <v>N/A</v>
      </c>
      <c r="E24" s="299"/>
    </row>
    <row r="25" spans="1:8" ht="15.75" customHeight="1">
      <c r="A25" s="1005" t="s">
        <v>553</v>
      </c>
      <c r="B25" s="1005"/>
      <c r="C25" s="1005"/>
      <c r="D25" s="868" t="str">
        <f>'GABARITO DIGITAÇÃO'!B43</f>
        <v>N/A</v>
      </c>
    </row>
    <row r="26" spans="1:8" ht="15.75" customHeight="1">
      <c r="A26" s="1005" t="s">
        <v>554</v>
      </c>
      <c r="B26" s="1005"/>
      <c r="C26" s="1005"/>
      <c r="D26" s="868" t="str">
        <f>'GABARITO DIGITAÇÃO'!B44</f>
        <v>N/A</v>
      </c>
    </row>
    <row r="27" spans="1:8" ht="15.75" customHeight="1">
      <c r="A27" s="1005" t="s">
        <v>555</v>
      </c>
      <c r="B27" s="1005"/>
      <c r="C27" s="1005"/>
      <c r="D27" s="868" t="str">
        <f>'GABARITO DIGITAÇÃO'!B45</f>
        <v>N/A</v>
      </c>
    </row>
    <row r="28" spans="1:8" ht="15.75" customHeight="1">
      <c r="A28" s="482" t="s">
        <v>542</v>
      </c>
    </row>
    <row r="29" spans="1:8" ht="15.75" customHeight="1" thickBot="1"/>
    <row r="30" spans="1:8" ht="15.75" customHeight="1">
      <c r="A30" s="990" t="s">
        <v>657</v>
      </c>
      <c r="B30" s="991"/>
      <c r="C30" s="992"/>
      <c r="D30" s="267"/>
      <c r="E30" s="267"/>
      <c r="F30" s="267"/>
    </row>
    <row r="31" spans="1:8" ht="15.75" customHeight="1" thickBot="1">
      <c r="A31" s="993" t="str">
        <f>'GABARITO DIGITAÇÃO'!A51:B51</f>
        <v>Satisfatório</v>
      </c>
      <c r="B31" s="994"/>
      <c r="C31" s="995"/>
      <c r="D31" s="267"/>
      <c r="E31" s="267"/>
      <c r="F31" s="267"/>
    </row>
    <row r="32" spans="1:8" ht="15.75" customHeight="1">
      <c r="G32" s="10"/>
    </row>
    <row r="33" spans="1:7" ht="15.75" customHeight="1">
      <c r="A33" s="1017" t="s">
        <v>217</v>
      </c>
      <c r="B33" s="1017"/>
      <c r="C33" s="1017"/>
      <c r="D33" s="1017"/>
      <c r="E33" s="1017"/>
      <c r="F33" s="1017"/>
      <c r="G33" s="1017"/>
    </row>
    <row r="34" spans="1:7" ht="19.5" customHeight="1">
      <c r="A34" s="1018" t="str">
        <f>'GABARITO DIGITAÇÃO'!A55:G55</f>
        <v xml:space="preserve">Sistema de processamento Digital (DR) </v>
      </c>
      <c r="B34" s="1018"/>
      <c r="C34" s="1018"/>
      <c r="D34" s="1018"/>
      <c r="E34" s="1018"/>
      <c r="F34" s="1018"/>
      <c r="G34" s="1018"/>
    </row>
    <row r="35" spans="1:7" ht="15.75" customHeight="1">
      <c r="A35" s="22" t="s">
        <v>22</v>
      </c>
      <c r="B35" s="22"/>
      <c r="C35" s="31"/>
      <c r="D35" s="916" t="s">
        <v>128</v>
      </c>
      <c r="F35" s="31" t="s">
        <v>50</v>
      </c>
      <c r="G35" s="31" t="s">
        <v>353</v>
      </c>
    </row>
    <row r="36" spans="1:7" ht="15.75" customHeight="1">
      <c r="A36" s="1015" t="s">
        <v>0</v>
      </c>
      <c r="B36" s="1016"/>
      <c r="C36" s="13">
        <f>'GABARITO DIGITAÇÃO'!B58</f>
        <v>0</v>
      </c>
      <c r="D36" s="915" t="s">
        <v>659</v>
      </c>
      <c r="F36" s="26" t="s">
        <v>22</v>
      </c>
      <c r="G36" s="310">
        <f>'GABARITO DIGITAÇÃO'!E58</f>
        <v>0</v>
      </c>
    </row>
    <row r="37" spans="1:7" ht="15.75" customHeight="1">
      <c r="A37" s="1015" t="s">
        <v>234</v>
      </c>
      <c r="B37" s="1016"/>
      <c r="C37" s="451">
        <f>'GABARITO DIGITAÇÃO'!B59</f>
        <v>0</v>
      </c>
      <c r="D37" s="266" t="s">
        <v>660</v>
      </c>
      <c r="F37" s="26" t="s">
        <v>23</v>
      </c>
      <c r="G37" s="310" t="str">
        <f>'GABARITO DIGITAÇÃO'!E59</f>
        <v>ok</v>
      </c>
    </row>
    <row r="38" spans="1:7" ht="15.75" customHeight="1">
      <c r="A38" s="1015" t="s">
        <v>235</v>
      </c>
      <c r="B38" s="1016"/>
      <c r="C38" s="451">
        <f>'GABARITO DIGITAÇÃO'!B60</f>
        <v>0</v>
      </c>
      <c r="D38" s="915" t="s">
        <v>661</v>
      </c>
      <c r="F38" s="26" t="s">
        <v>24</v>
      </c>
      <c r="G38" s="310" t="str">
        <f>'GABARITO DIGITAÇÃO'!E60</f>
        <v>ok</v>
      </c>
    </row>
    <row r="39" spans="1:7" ht="15.75" customHeight="1">
      <c r="A39" s="1015" t="s">
        <v>236</v>
      </c>
      <c r="B39" s="1016"/>
      <c r="C39" s="451">
        <f>'GABARITO DIGITAÇÃO'!B61</f>
        <v>0</v>
      </c>
      <c r="D39" s="915" t="s">
        <v>662</v>
      </c>
      <c r="F39" s="26" t="s">
        <v>25</v>
      </c>
      <c r="G39" s="310" t="str">
        <f>'GABARITO DIGITAÇÃO'!E61</f>
        <v>ok</v>
      </c>
    </row>
    <row r="40" spans="1:7" ht="15.75" customHeight="1">
      <c r="A40" s="56" t="s">
        <v>129</v>
      </c>
      <c r="B40" s="56"/>
      <c r="C40" s="57">
        <f>AVERAGE(C37:C39)</f>
        <v>0</v>
      </c>
      <c r="D40" s="266"/>
      <c r="F40" s="26" t="s">
        <v>26</v>
      </c>
      <c r="G40" s="310" t="str">
        <f>'GABARITO DIGITAÇÃO'!E62</f>
        <v>ok</v>
      </c>
    </row>
    <row r="41" spans="1:7" ht="15.75" customHeight="1">
      <c r="A41" s="58" t="s">
        <v>237</v>
      </c>
      <c r="B41" s="59"/>
      <c r="C41" s="57">
        <f>C39-C37</f>
        <v>0</v>
      </c>
      <c r="D41" s="915" t="s">
        <v>663</v>
      </c>
      <c r="F41" s="26" t="s">
        <v>27</v>
      </c>
      <c r="G41" s="310" t="str">
        <f>'GABARITO DIGITAÇÃO'!E63</f>
        <v>ok</v>
      </c>
    </row>
    <row r="42" spans="1:7" ht="15.75" customHeight="1">
      <c r="A42" s="29" t="s">
        <v>591</v>
      </c>
      <c r="B42" s="29"/>
      <c r="C42" s="14">
        <f>'GABARITO DIGITAÇÃO'!B64</f>
        <v>0</v>
      </c>
      <c r="D42" s="482"/>
      <c r="F42" s="26" t="s">
        <v>28</v>
      </c>
      <c r="G42" s="310" t="str">
        <f>'GABARITO DIGITAÇÃO'!E64</f>
        <v>ok</v>
      </c>
    </row>
    <row r="43" spans="1:7" ht="15.75" customHeight="1">
      <c r="A43" s="29" t="s">
        <v>34</v>
      </c>
      <c r="B43" s="29"/>
      <c r="C43" s="14">
        <f>'GABARITO DIGITAÇÃO'!B65</f>
        <v>0</v>
      </c>
      <c r="D43" s="482"/>
      <c r="F43" s="26" t="s">
        <v>29</v>
      </c>
      <c r="G43" s="310" t="str">
        <f>'GABARITO DIGITAÇÃO'!E65</f>
        <v>ok</v>
      </c>
    </row>
    <row r="44" spans="1:7" ht="15.75" customHeight="1">
      <c r="A44" s="29" t="s">
        <v>35</v>
      </c>
      <c r="B44" s="29"/>
      <c r="C44" s="14">
        <f>'GABARITO DIGITAÇÃO'!B66</f>
        <v>0</v>
      </c>
      <c r="D44" s="266" t="s">
        <v>230</v>
      </c>
      <c r="F44" s="26" t="s">
        <v>9</v>
      </c>
      <c r="G44" s="28"/>
    </row>
    <row r="45" spans="1:7" ht="15.75" customHeight="1" thickBot="1">
      <c r="G45" s="10"/>
    </row>
    <row r="46" spans="1:7" ht="15.75" customHeight="1">
      <c r="A46" s="996" t="s">
        <v>658</v>
      </c>
      <c r="B46" s="997"/>
      <c r="C46" s="997"/>
      <c r="D46" s="998"/>
      <c r="E46" s="456"/>
      <c r="F46" s="456"/>
    </row>
    <row r="47" spans="1:7" ht="15.75" customHeight="1" thickBot="1">
      <c r="A47" s="999" t="str">
        <f>IF(G43&lt;&gt;"ok","Adequar",IF(G39&lt;&gt;"ok","Adequar",IF(G40&lt;&gt;"ok","Adequar",IF(G41&lt;&gt;"ok","Adequar",IF(G42&lt;&gt;"ok","Adequar",IF(G37&lt;&gt;"ok","Adequar",IF(G37&lt;&gt;"ok","Adequar","Satisfatório")))))))</f>
        <v>Satisfatório</v>
      </c>
      <c r="B47" s="1000"/>
      <c r="C47" s="1000"/>
      <c r="D47" s="1001"/>
      <c r="E47" s="267"/>
      <c r="F47" s="268"/>
    </row>
    <row r="48" spans="1:7" ht="15.75" customHeight="1">
      <c r="A48" s="259"/>
      <c r="B48" s="259"/>
      <c r="C48" s="267"/>
      <c r="D48" s="267"/>
      <c r="E48" s="267"/>
      <c r="F48" s="268"/>
    </row>
    <row r="49" spans="1:7" ht="15.75" customHeight="1">
      <c r="A49" s="1017" t="s">
        <v>218</v>
      </c>
      <c r="B49" s="1017"/>
      <c r="C49" s="1017"/>
      <c r="D49" s="1017"/>
      <c r="E49" s="1017"/>
      <c r="F49" s="1017"/>
      <c r="G49" s="1017"/>
    </row>
    <row r="50" spans="1:7" ht="15.75" customHeight="1">
      <c r="A50" s="22" t="s">
        <v>664</v>
      </c>
    </row>
    <row r="51" spans="1:7" ht="15.75" customHeight="1">
      <c r="A51" s="13" t="s">
        <v>130</v>
      </c>
      <c r="B51" s="13" t="s">
        <v>665</v>
      </c>
      <c r="C51" s="13" t="s">
        <v>354</v>
      </c>
    </row>
    <row r="52" spans="1:7" ht="15.75" customHeight="1">
      <c r="A52" s="13" t="s">
        <v>232</v>
      </c>
      <c r="B52" s="5">
        <f>'GABARITO DIGITAÇÃO'!B74</f>
        <v>0</v>
      </c>
      <c r="C52" s="13">
        <f>'GABARITO DIGITAÇÃO'!C74</f>
        <v>0</v>
      </c>
    </row>
    <row r="53" spans="1:7" ht="15.75" customHeight="1">
      <c r="A53" s="13" t="s">
        <v>182</v>
      </c>
      <c r="B53" s="5">
        <f>'GABARITO DIGITAÇÃO'!B75</f>
        <v>0</v>
      </c>
      <c r="C53" s="451">
        <f>'GABARITO DIGITAÇÃO'!C75</f>
        <v>0</v>
      </c>
    </row>
    <row r="54" spans="1:7" ht="15.75" customHeight="1">
      <c r="A54" s="13" t="s">
        <v>183</v>
      </c>
      <c r="B54" s="5">
        <f>'GABARITO DIGITAÇÃO'!B76</f>
        <v>0</v>
      </c>
      <c r="C54" s="451">
        <f>'GABARITO DIGITAÇÃO'!C76</f>
        <v>0</v>
      </c>
      <c r="F54" s="1022" t="s">
        <v>331</v>
      </c>
      <c r="G54" s="1023"/>
    </row>
    <row r="55" spans="1:7" ht="15.75" customHeight="1">
      <c r="A55" s="13" t="s">
        <v>184</v>
      </c>
      <c r="B55" s="5">
        <f>'GABARITO DIGITAÇÃO'!B77</f>
        <v>0</v>
      </c>
      <c r="C55" s="451">
        <f>'GABARITO DIGITAÇÃO'!C77</f>
        <v>0</v>
      </c>
      <c r="F55" s="1013" t="s">
        <v>200</v>
      </c>
      <c r="G55" s="1014"/>
    </row>
    <row r="56" spans="1:7" ht="15.75" customHeight="1">
      <c r="A56" s="13" t="s">
        <v>185</v>
      </c>
      <c r="B56" s="5">
        <f>'GABARITO DIGITAÇÃO'!B78</f>
        <v>0</v>
      </c>
      <c r="C56" s="451">
        <f>'GABARITO DIGITAÇÃO'!C78</f>
        <v>0</v>
      </c>
    </row>
    <row r="57" spans="1:7" ht="15.75" customHeight="1">
      <c r="A57" s="13" t="s">
        <v>186</v>
      </c>
      <c r="B57" s="5">
        <f>'GABARITO DIGITAÇÃO'!B79</f>
        <v>0</v>
      </c>
      <c r="C57" s="451">
        <f>'GABARITO DIGITAÇÃO'!C79</f>
        <v>0</v>
      </c>
    </row>
  </sheetData>
  <mergeCells count="39">
    <mergeCell ref="A17:C17"/>
    <mergeCell ref="A1:G1"/>
    <mergeCell ref="A10:C10"/>
    <mergeCell ref="A13:C13"/>
    <mergeCell ref="A6:C6"/>
    <mergeCell ref="A15:C15"/>
    <mergeCell ref="A7:C7"/>
    <mergeCell ref="A8:C8"/>
    <mergeCell ref="A4:B4"/>
    <mergeCell ref="A9:C9"/>
    <mergeCell ref="A14:C14"/>
    <mergeCell ref="A11:C11"/>
    <mergeCell ref="A12:C12"/>
    <mergeCell ref="A16:C16"/>
    <mergeCell ref="F55:G55"/>
    <mergeCell ref="A22:C22"/>
    <mergeCell ref="A36:B36"/>
    <mergeCell ref="A37:B37"/>
    <mergeCell ref="A38:B38"/>
    <mergeCell ref="A49:G49"/>
    <mergeCell ref="A33:G33"/>
    <mergeCell ref="A39:B39"/>
    <mergeCell ref="A34:G34"/>
    <mergeCell ref="A23:C23"/>
    <mergeCell ref="A26:C26"/>
    <mergeCell ref="A27:C27"/>
    <mergeCell ref="F54:G54"/>
    <mergeCell ref="F22:G22"/>
    <mergeCell ref="A18:C18"/>
    <mergeCell ref="A25:C25"/>
    <mergeCell ref="A20:C20"/>
    <mergeCell ref="A24:C24"/>
    <mergeCell ref="A19:C19"/>
    <mergeCell ref="A21:C21"/>
    <mergeCell ref="F21:G21"/>
    <mergeCell ref="A30:C30"/>
    <mergeCell ref="A31:C31"/>
    <mergeCell ref="A46:D46"/>
    <mergeCell ref="A47:D47"/>
  </mergeCells>
  <phoneticPr fontId="21" type="noConversion"/>
  <printOptions horizontalCentered="1" verticalCentered="1"/>
  <pageMargins left="0.78740157480314965" right="0.78740157480314965" top="1.7716535433070868" bottom="0.98425196850393704" header="0.51181102362204722" footer="0.51181102362204722"/>
  <pageSetup paperSize="9" scale="85" orientation="portrait" r:id="rId1"/>
  <headerFooter alignWithMargins="0">
    <oddFooter>&amp;L&amp;8
&amp;F &amp;C3</oddFooter>
  </headerFooter>
  <drawing r:id="rId2"/>
  <legacyDrawing r:id="rId3"/>
  <controls>
    <mc:AlternateContent xmlns:mc="http://schemas.openxmlformats.org/markup-compatibility/2006">
      <mc:Choice Requires="x14">
        <control shapeId="9229" r:id="rId4" name="ProcConv">
          <controlPr defaultSize="0" print="0" autoLine="0" autoPict="0" r:id="rId5">
            <anchor moveWithCells="1">
              <from>
                <xdr:col>7</xdr:col>
                <xdr:colOff>438150</xdr:colOff>
                <xdr:row>9</xdr:row>
                <xdr:rowOff>28575</xdr:rowOff>
              </from>
              <to>
                <xdr:col>8</xdr:col>
                <xdr:colOff>619125</xdr:colOff>
                <xdr:row>11</xdr:row>
                <xdr:rowOff>161925</xdr:rowOff>
              </to>
            </anchor>
          </controlPr>
        </control>
      </mc:Choice>
      <mc:Fallback>
        <control shapeId="9229" r:id="rId4" name="ProcConv"/>
      </mc:Fallback>
    </mc:AlternateContent>
    <mc:AlternateContent xmlns:mc="http://schemas.openxmlformats.org/markup-compatibility/2006">
      <mc:Choice Requires="x14">
        <control shapeId="9226" r:id="rId6" name="ProcCR">
          <controlPr defaultSize="0" print="0" autoLine="0" autoPict="0" r:id="rId7">
            <anchor moveWithCells="1">
              <from>
                <xdr:col>7</xdr:col>
                <xdr:colOff>400050</xdr:colOff>
                <xdr:row>4</xdr:row>
                <xdr:rowOff>123825</xdr:rowOff>
              </from>
              <to>
                <xdr:col>8</xdr:col>
                <xdr:colOff>619125</xdr:colOff>
                <xdr:row>7</xdr:row>
                <xdr:rowOff>142875</xdr:rowOff>
              </to>
            </anchor>
          </controlPr>
        </control>
      </mc:Choice>
      <mc:Fallback>
        <control shapeId="9226" r:id="rId6" name="ProcC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dimension ref="A1:Q172"/>
  <sheetViews>
    <sheetView view="pageBreakPreview" zoomScale="90" zoomScaleNormal="50" zoomScaleSheetLayoutView="90" workbookViewId="0">
      <selection activeCell="G42" sqref="G42"/>
    </sheetView>
  </sheetViews>
  <sheetFormatPr defaultRowHeight="15"/>
  <cols>
    <col min="1" max="1" width="24" style="6" customWidth="1"/>
    <col min="2" max="5" width="20.85546875" style="6" customWidth="1"/>
    <col min="6" max="6" width="8.140625" style="10" hidden="1" customWidth="1"/>
    <col min="7" max="7" width="17.28515625" style="6" hidden="1" customWidth="1"/>
    <col min="8" max="8" width="11.7109375" style="10" customWidth="1"/>
    <col min="9" max="9" width="17.28515625" style="10" customWidth="1"/>
    <col min="10" max="10" width="15.5703125" style="6" bestFit="1" customWidth="1"/>
    <col min="11" max="11" width="17.28515625" style="6" customWidth="1"/>
    <col min="12" max="12" width="11.7109375" style="6" customWidth="1"/>
    <col min="13" max="13" width="17.28515625" style="6" customWidth="1"/>
    <col min="14" max="15" width="11.7109375" style="6" customWidth="1"/>
    <col min="16" max="16384" width="9.140625" style="6"/>
  </cols>
  <sheetData>
    <row r="1" spans="1:14" ht="18">
      <c r="A1" s="1027" t="s">
        <v>134</v>
      </c>
      <c r="B1" s="1027"/>
      <c r="C1" s="1027"/>
      <c r="D1" s="1027"/>
      <c r="E1" s="1027"/>
      <c r="F1" s="159"/>
      <c r="G1" s="159"/>
      <c r="H1" s="159"/>
      <c r="I1" s="159"/>
      <c r="J1" s="60"/>
    </row>
    <row r="2" spans="1:14" ht="8.25" customHeight="1"/>
    <row r="3" spans="1:14">
      <c r="A3" s="8"/>
      <c r="B3" s="8"/>
      <c r="C3" s="21"/>
      <c r="D3" s="21"/>
      <c r="E3" s="21"/>
      <c r="F3" s="21"/>
      <c r="G3" s="21"/>
      <c r="H3" s="21"/>
      <c r="I3" s="21"/>
      <c r="J3" s="21"/>
      <c r="K3" s="21"/>
      <c r="L3" s="4"/>
      <c r="M3" s="9"/>
      <c r="N3" s="17"/>
    </row>
    <row r="4" spans="1:14" ht="15.75">
      <c r="A4" s="25" t="s">
        <v>224</v>
      </c>
      <c r="B4" s="25"/>
      <c r="C4" s="25"/>
      <c r="D4" s="25"/>
      <c r="F4" s="25"/>
      <c r="G4" s="25"/>
    </row>
    <row r="5" spans="1:14" ht="15.75">
      <c r="A5" s="20"/>
      <c r="B5" s="25"/>
      <c r="C5" s="25"/>
      <c r="D5" s="25"/>
      <c r="E5" s="25"/>
      <c r="F5" s="25"/>
      <c r="G5" s="25"/>
    </row>
    <row r="6" spans="1:14" ht="15.75">
      <c r="A6" s="7" t="str">
        <f>'GABARITO DIGITAÇÃO'!A84</f>
        <v>mA:</v>
      </c>
      <c r="B6" s="41">
        <f>'GABARITO DIGITAÇÃO'!B84</f>
        <v>100</v>
      </c>
      <c r="C6" s="7" t="s">
        <v>560</v>
      </c>
      <c r="D6" s="479" t="str">
        <f>'GABARITO DIGITAÇÃO'!B83</f>
        <v xml:space="preserve">Fino </v>
      </c>
      <c r="E6" s="6" t="str">
        <f>IF('GABARITO DIGITAÇÃO'!E84="","",'GABARITO DIGITAÇÃO'!E84)</f>
        <v/>
      </c>
      <c r="L6" s="23"/>
    </row>
    <row r="7" spans="1:14" s="62" customFormat="1" ht="15.75">
      <c r="A7" s="55" t="s">
        <v>53</v>
      </c>
      <c r="B7" s="51">
        <f>'GABARITO DIGITAÇÃO'!B85</f>
        <v>50</v>
      </c>
      <c r="C7" s="51">
        <f>'GABARITO DIGITAÇÃO'!C85</f>
        <v>60</v>
      </c>
      <c r="D7" s="51">
        <f>'GABARITO DIGITAÇÃO'!D85</f>
        <v>70</v>
      </c>
      <c r="E7" s="51">
        <f>'GABARITO DIGITAÇÃO'!E85</f>
        <v>80</v>
      </c>
      <c r="F7" s="125"/>
      <c r="H7" s="125"/>
      <c r="I7" s="125"/>
      <c r="J7" s="31"/>
      <c r="K7" s="54"/>
      <c r="L7" s="54"/>
    </row>
    <row r="8" spans="1:14" s="12" customFormat="1">
      <c r="A8" s="16" t="s">
        <v>58</v>
      </c>
      <c r="B8" s="14">
        <f>'GABARITO DIGITAÇÃO'!B86</f>
        <v>49.2</v>
      </c>
      <c r="C8" s="14">
        <f>'GABARITO DIGITAÇÃO'!C86</f>
        <v>59.2</v>
      </c>
      <c r="D8" s="14">
        <f>'GABARITO DIGITAÇÃO'!D86</f>
        <v>69</v>
      </c>
      <c r="E8" s="14">
        <f>'GABARITO DIGITAÇÃO'!E86</f>
        <v>79.900000000000006</v>
      </c>
      <c r="F8" s="19"/>
      <c r="H8" s="19"/>
      <c r="I8" s="19"/>
      <c r="J8" s="34"/>
      <c r="K8" s="35"/>
      <c r="L8" s="36"/>
    </row>
    <row r="9" spans="1:14" s="12" customFormat="1">
      <c r="A9" s="16" t="s">
        <v>59</v>
      </c>
      <c r="B9" s="14">
        <f>'GABARITO DIGITAÇÃO'!B87</f>
        <v>49.1</v>
      </c>
      <c r="C9" s="14">
        <f>'GABARITO DIGITAÇÃO'!C87</f>
        <v>59.1</v>
      </c>
      <c r="D9" s="14">
        <f>'GABARITO DIGITAÇÃO'!D87</f>
        <v>69.099999999999994</v>
      </c>
      <c r="E9" s="14">
        <f>'GABARITO DIGITAÇÃO'!E87</f>
        <v>79.8</v>
      </c>
      <c r="F9" s="19"/>
      <c r="H9" s="19"/>
      <c r="I9" s="19"/>
      <c r="J9" s="34"/>
      <c r="K9" s="37"/>
      <c r="L9" s="37"/>
    </row>
    <row r="10" spans="1:14" s="12" customFormat="1">
      <c r="A10" s="16" t="s">
        <v>60</v>
      </c>
      <c r="B10" s="14">
        <v>49.211664253473288</v>
      </c>
      <c r="C10" s="15">
        <v>59.173855584859851</v>
      </c>
      <c r="D10" s="15">
        <v>68.950974005460736</v>
      </c>
      <c r="E10" s="15">
        <v>79.7042052924633</v>
      </c>
      <c r="F10" s="19"/>
      <c r="H10" s="19"/>
      <c r="I10" s="19"/>
      <c r="J10" s="300"/>
      <c r="K10" s="37"/>
      <c r="L10" s="37"/>
    </row>
    <row r="11" spans="1:14" s="12" customFormat="1">
      <c r="A11" s="16" t="s">
        <v>61</v>
      </c>
      <c r="B11" s="14">
        <v>49.160027205944061</v>
      </c>
      <c r="C11" s="14">
        <v>59.086868739128114</v>
      </c>
      <c r="D11" s="14">
        <v>69.187370049953458</v>
      </c>
      <c r="E11" s="14">
        <v>79.928217077255255</v>
      </c>
      <c r="F11" s="19"/>
      <c r="H11" s="19"/>
      <c r="I11" s="19"/>
      <c r="J11" s="34"/>
      <c r="K11" s="37"/>
      <c r="L11" s="37"/>
    </row>
    <row r="12" spans="1:14" s="12" customFormat="1" ht="15.75">
      <c r="A12" s="65" t="s">
        <v>54</v>
      </c>
      <c r="B12" s="66">
        <f>AVERAGE(B8:B11)</f>
        <v>49.16792286485434</v>
      </c>
      <c r="C12" s="66">
        <f>AVERAGE(C8:C11)</f>
        <v>59.140181080996989</v>
      </c>
      <c r="D12" s="127">
        <f>AVERAGE(D8:D11)</f>
        <v>69.059586013853547</v>
      </c>
      <c r="E12" s="66">
        <f>AVERAGE(E8:E11)</f>
        <v>79.833105592429632</v>
      </c>
      <c r="F12" s="19"/>
      <c r="G12" s="1"/>
      <c r="H12" s="19"/>
      <c r="I12" s="93"/>
      <c r="J12" s="34"/>
      <c r="K12" s="37"/>
      <c r="L12" s="37"/>
    </row>
    <row r="13" spans="1:14" s="12" customFormat="1">
      <c r="A13" s="65" t="s">
        <v>56</v>
      </c>
      <c r="B13" s="57">
        <f>ABS(100*(B7-B12)/B7)</f>
        <v>1.6641542702913199</v>
      </c>
      <c r="C13" s="57">
        <f>ABS(100*(C7-C12)/C7)</f>
        <v>1.4330315316716853</v>
      </c>
      <c r="D13" s="128">
        <f>ABS(100*(D7-D12)/D7)</f>
        <v>1.3434485516377899</v>
      </c>
      <c r="E13" s="57">
        <f>ABS(100*(E7-E12)/E7)</f>
        <v>0.20861800946295972</v>
      </c>
      <c r="F13" s="19"/>
      <c r="G13" s="63"/>
      <c r="H13" s="19"/>
      <c r="I13" s="126"/>
      <c r="J13" s="34"/>
      <c r="K13" s="37"/>
      <c r="L13" s="37"/>
    </row>
    <row r="14" spans="1:14" s="12" customFormat="1" ht="15.75">
      <c r="A14" s="55" t="s">
        <v>57</v>
      </c>
      <c r="B14" s="55" t="str">
        <f>IF(B13&gt;10,"NÃO",IF(B13&lt;-10,"NÃO","SIM"))</f>
        <v>SIM</v>
      </c>
      <c r="C14" s="55" t="str">
        <f>IF(C13&gt;10,"NÃO",IF(C13&lt;-10,"NÃO","SIM"))</f>
        <v>SIM</v>
      </c>
      <c r="D14" s="64" t="str">
        <f>IF(D13&gt;10,"NÃO",IF(D13&lt;-10,"NÃO","SIM"))</f>
        <v>SIM</v>
      </c>
      <c r="E14" s="55" t="str">
        <f>IF(E13&gt;10,"NÃO",IF(E13&lt;-10,"NÃO","SIM"))</f>
        <v>SIM</v>
      </c>
      <c r="F14" s="19"/>
      <c r="G14" s="31"/>
      <c r="H14" s="19"/>
      <c r="I14" s="20"/>
      <c r="J14" s="34"/>
      <c r="K14" s="37"/>
      <c r="L14" s="37"/>
    </row>
    <row r="15" spans="1:14" s="12" customFormat="1" ht="15.75">
      <c r="A15" s="65" t="s">
        <v>55</v>
      </c>
      <c r="B15" s="67">
        <f>STDEV(B8:B11)/B12</f>
        <v>1.0248990556743786E-3</v>
      </c>
      <c r="C15" s="67">
        <f>STDEV(C8:C11)/C12</f>
        <v>9.3479787669065574E-4</v>
      </c>
      <c r="D15" s="129">
        <f>STDEV(D8:D11)/D12</f>
        <v>1.5257975973248775E-3</v>
      </c>
      <c r="E15" s="67">
        <f>STDEV(E8:E11)/E12</f>
        <v>1.2780813524851753E-3</v>
      </c>
      <c r="F15" s="19"/>
      <c r="G15" s="68"/>
      <c r="H15" s="19"/>
      <c r="I15" s="71"/>
      <c r="J15" s="34"/>
      <c r="K15" s="37"/>
      <c r="L15" s="37"/>
    </row>
    <row r="16" spans="1:14" s="12" customFormat="1" ht="15" customHeight="1">
      <c r="A16" s="55" t="s">
        <v>57</v>
      </c>
      <c r="B16" s="55" t="str">
        <f>IF(B15&gt;0.1000000000001,"NÃO",IF(B15&lt;-0.10000000001,"NÃO","SIM"))</f>
        <v>SIM</v>
      </c>
      <c r="C16" s="55" t="str">
        <f>IF(C15&gt;0.1000000000001,"NÃO",IF(C15&lt;-0.10000000001,"NÃO","SIM"))</f>
        <v>SIM</v>
      </c>
      <c r="D16" s="64" t="str">
        <f>IF(D15&gt;0.1000000000001,"NÃO",IF(D15&lt;-0.10000000001,"NÃO","SIM"))</f>
        <v>SIM</v>
      </c>
      <c r="E16" s="55" t="str">
        <f>IF(E15&gt;0.1000000000001,"NÃO",IF(E15&lt;-0.10000000001,"NÃO","SIM"))</f>
        <v>SIM</v>
      </c>
      <c r="F16" s="19"/>
      <c r="G16" s="31"/>
      <c r="H16" s="19"/>
      <c r="I16" s="20"/>
      <c r="J16" s="34"/>
      <c r="K16" s="35"/>
      <c r="L16" s="36"/>
    </row>
    <row r="17" spans="1:17" s="12" customFormat="1" ht="12" customHeight="1">
      <c r="A17" s="20"/>
      <c r="B17" s="20"/>
      <c r="C17" s="20"/>
      <c r="D17" s="20"/>
      <c r="E17" s="20"/>
      <c r="F17" s="20"/>
      <c r="G17" s="20"/>
      <c r="H17" s="20"/>
      <c r="I17" s="20"/>
      <c r="J17" s="34"/>
      <c r="K17" s="34"/>
      <c r="L17" s="35"/>
      <c r="M17" s="36"/>
    </row>
    <row r="18" spans="1:17" ht="15.75">
      <c r="A18" s="7" t="str">
        <f>A6</f>
        <v>mA:</v>
      </c>
      <c r="B18" s="41">
        <f>'GABARITO DIGITAÇÃO'!B91</f>
        <v>200</v>
      </c>
      <c r="C18" s="7" t="s">
        <v>560</v>
      </c>
      <c r="D18" s="479" t="str">
        <f>'GABARITO DIGITAÇÃO'!D91</f>
        <v>Grosso</v>
      </c>
      <c r="L18" s="23"/>
    </row>
    <row r="19" spans="1:17" s="1" customFormat="1" ht="15.75">
      <c r="A19" s="55" t="s">
        <v>53</v>
      </c>
      <c r="B19" s="96">
        <f>'GABARITO DIGITAÇÃO'!B92</f>
        <v>50</v>
      </c>
      <c r="C19" s="96">
        <f>'GABARITO DIGITAÇÃO'!C92</f>
        <v>60</v>
      </c>
      <c r="D19" s="96">
        <f>'GABARITO DIGITAÇÃO'!D92</f>
        <v>70</v>
      </c>
      <c r="E19" s="96">
        <f>'GABARITO DIGITAÇÃO'!E92</f>
        <v>80</v>
      </c>
      <c r="F19" s="93"/>
      <c r="H19" s="93"/>
      <c r="I19" s="93"/>
      <c r="J19" s="20"/>
      <c r="K19" s="7"/>
      <c r="L19" s="7"/>
    </row>
    <row r="20" spans="1:17" s="12" customFormat="1">
      <c r="A20" s="256" t="s">
        <v>58</v>
      </c>
      <c r="B20" s="1172">
        <f>'GABARITO DIGITAÇÃO'!B93</f>
        <v>48.8</v>
      </c>
      <c r="C20" s="1172">
        <f>'GABARITO DIGITAÇÃO'!C93</f>
        <v>59.3</v>
      </c>
      <c r="D20" s="1172">
        <f>'GABARITO DIGITAÇÃO'!D93</f>
        <v>69.099999999999994</v>
      </c>
      <c r="E20" s="1172">
        <f>'GABARITO DIGITAÇÃO'!E93</f>
        <v>79</v>
      </c>
      <c r="F20" s="19"/>
      <c r="H20" s="19"/>
      <c r="I20" s="19"/>
      <c r="J20" s="34"/>
      <c r="K20" s="35"/>
      <c r="L20" s="36"/>
    </row>
    <row r="21" spans="1:17" s="12" customFormat="1">
      <c r="A21" s="16" t="s">
        <v>59</v>
      </c>
      <c r="B21" s="1172">
        <f>'GABARITO DIGITAÇÃO'!B94</f>
        <v>49.6</v>
      </c>
      <c r="C21" s="1172">
        <f>'GABARITO DIGITAÇÃO'!C94</f>
        <v>59.2</v>
      </c>
      <c r="D21" s="1172">
        <f>'GABARITO DIGITAÇÃO'!D94</f>
        <v>69.2</v>
      </c>
      <c r="E21" s="1172">
        <f>'GABARITO DIGITAÇÃO'!E94</f>
        <v>79.099999999999994</v>
      </c>
      <c r="F21" s="19"/>
      <c r="H21" s="19"/>
      <c r="I21" s="19"/>
      <c r="J21" s="34"/>
      <c r="K21" s="37"/>
      <c r="L21" s="37"/>
    </row>
    <row r="22" spans="1:17" s="12" customFormat="1">
      <c r="A22" s="16" t="s">
        <v>60</v>
      </c>
      <c r="B22" s="14">
        <v>49.577388024330141</v>
      </c>
      <c r="C22" s="15">
        <v>59.113605827093117</v>
      </c>
      <c r="D22" s="15">
        <v>69.33130967020989</v>
      </c>
      <c r="E22" s="15">
        <v>78.986768084764478</v>
      </c>
      <c r="F22" s="19"/>
      <c r="H22" s="19"/>
      <c r="I22" s="19"/>
      <c r="J22" s="34"/>
      <c r="K22" s="37"/>
      <c r="L22" s="37"/>
    </row>
    <row r="23" spans="1:17" s="12" customFormat="1">
      <c r="A23" s="16" t="s">
        <v>61</v>
      </c>
      <c r="B23" s="14">
        <v>49.45084547996521</v>
      </c>
      <c r="C23" s="14">
        <v>59.224209809303282</v>
      </c>
      <c r="D23" s="14">
        <v>69.29524000883103</v>
      </c>
      <c r="E23" s="14">
        <v>79.280976581573483</v>
      </c>
      <c r="F23" s="19"/>
      <c r="H23" s="19"/>
      <c r="I23" s="19"/>
      <c r="J23" s="34"/>
      <c r="K23" s="37"/>
      <c r="L23" s="37"/>
    </row>
    <row r="24" spans="1:17" s="12" customFormat="1" ht="15.75">
      <c r="A24" s="65" t="s">
        <v>54</v>
      </c>
      <c r="B24" s="66">
        <f>AVERAGE(B20:B23)</f>
        <v>49.357058376073837</v>
      </c>
      <c r="C24" s="66">
        <f>AVERAGE(C20:C23)</f>
        <v>59.209453909099103</v>
      </c>
      <c r="D24" s="66">
        <f>AVERAGE(D20:D23)</f>
        <v>69.231637419760233</v>
      </c>
      <c r="E24" s="66">
        <f>AVERAGE(E20:E23)</f>
        <v>79.091936166584489</v>
      </c>
      <c r="F24" s="19"/>
      <c r="H24" s="19"/>
      <c r="I24" s="93"/>
      <c r="J24" s="34"/>
      <c r="K24" s="37"/>
      <c r="L24" s="37"/>
    </row>
    <row r="25" spans="1:17" s="12" customFormat="1">
      <c r="A25" s="65" t="s">
        <v>56</v>
      </c>
      <c r="B25" s="57">
        <f>ABS(100*(B19-B24)/B19)</f>
        <v>1.2858832478523254</v>
      </c>
      <c r="C25" s="57">
        <f>ABS(100*(C19-C24)/C19)</f>
        <v>1.3175768181681609</v>
      </c>
      <c r="D25" s="57">
        <f>ABS(100*(D19-D24)/D19)</f>
        <v>1.0976608289139531</v>
      </c>
      <c r="E25" s="57">
        <f>ABS(100*(E19-E24)/E19)</f>
        <v>1.1350797917693889</v>
      </c>
      <c r="F25" s="19"/>
      <c r="H25" s="19"/>
      <c r="I25" s="126"/>
      <c r="J25" s="34"/>
      <c r="K25" s="37"/>
      <c r="L25" s="37"/>
    </row>
    <row r="26" spans="1:17" s="12" customFormat="1" ht="15.75">
      <c r="A26" s="55" t="s">
        <v>57</v>
      </c>
      <c r="B26" s="55" t="str">
        <f>IF(B25&gt;10,"NÃO",IF(B25&lt;-10,"NÃO","SIM"))</f>
        <v>SIM</v>
      </c>
      <c r="C26" s="55" t="str">
        <f>IF(C25&gt;10,"NÃO",IF(C25&lt;-10,"NÃO","SIM"))</f>
        <v>SIM</v>
      </c>
      <c r="D26" s="64" t="str">
        <f>IF(D25&gt;10,"NÃO",IF(D25&lt;-10,"NÃO","SIM"))</f>
        <v>SIM</v>
      </c>
      <c r="E26" s="55" t="str">
        <f>IF(E25&gt;10,"NÃO",IF(E25&lt;-10,"NÃO","SIM"))</f>
        <v>SIM</v>
      </c>
      <c r="F26" s="19"/>
      <c r="H26" s="19"/>
      <c r="I26" s="20"/>
      <c r="J26" s="34"/>
      <c r="K26" s="37"/>
      <c r="L26" s="37"/>
    </row>
    <row r="27" spans="1:17" s="12" customFormat="1" ht="15.75">
      <c r="A27" s="65" t="s">
        <v>55</v>
      </c>
      <c r="B27" s="67">
        <f>STDEV(B20:B23)/B24</f>
        <v>7.6408052641318931E-3</v>
      </c>
      <c r="C27" s="67">
        <f>STDEV(C20:C23)/C24</f>
        <v>1.2970110763264764E-3</v>
      </c>
      <c r="D27" s="67">
        <f>STDEV(D20:D23)/D24</f>
        <v>1.4989866341091505E-3</v>
      </c>
      <c r="E27" s="67">
        <f>STDEV(E20:E23)/E24</f>
        <v>1.7168180028388309E-3</v>
      </c>
      <c r="F27" s="19"/>
      <c r="H27" s="19"/>
      <c r="I27" s="71"/>
      <c r="J27" s="34"/>
      <c r="K27" s="37"/>
      <c r="L27" s="37"/>
    </row>
    <row r="28" spans="1:17" s="12" customFormat="1" ht="15" customHeight="1">
      <c r="A28" s="55" t="s">
        <v>57</v>
      </c>
      <c r="B28" s="55" t="str">
        <f>IF(B27&gt;0.1000000000001,"NÃO",IF(B27&lt;-0.10000000001,"NÃO","SIM"))</f>
        <v>SIM</v>
      </c>
      <c r="C28" s="55" t="str">
        <f>IF(C27&gt;0.1000000000001,"NÃO",IF(C27&lt;-0.10000000001,"NÃO","SIM"))</f>
        <v>SIM</v>
      </c>
      <c r="D28" s="64" t="str">
        <f>IF(D27&gt;0.1000000000001,"NÃO",IF(D27&lt;-0.10000000001,"NÃO","SIM"))</f>
        <v>SIM</v>
      </c>
      <c r="E28" s="55" t="str">
        <f>IF(E27&gt;0.1000000000001,"NÃO",IF(E27&lt;-0.10000000001,"NÃO","SIM"))</f>
        <v>SIM</v>
      </c>
      <c r="F28" s="19"/>
      <c r="H28" s="19"/>
      <c r="I28" s="20"/>
      <c r="J28" s="34"/>
      <c r="K28" s="35"/>
      <c r="L28" s="36"/>
    </row>
    <row r="29" spans="1:17" s="12" customFormat="1" ht="12" customHeight="1">
      <c r="A29" s="20"/>
      <c r="B29" s="20"/>
      <c r="C29" s="20"/>
      <c r="D29" s="20"/>
      <c r="E29" s="20"/>
      <c r="F29" s="20"/>
      <c r="G29" s="20"/>
      <c r="H29" s="20"/>
      <c r="I29" s="20"/>
      <c r="J29" s="34"/>
      <c r="K29" s="34"/>
      <c r="L29" s="35"/>
      <c r="M29" s="36"/>
      <c r="P29" s="37"/>
      <c r="Q29" s="37"/>
    </row>
    <row r="30" spans="1:17" ht="15" customHeight="1">
      <c r="A30" s="7" t="str">
        <f>A6</f>
        <v>mA:</v>
      </c>
      <c r="B30" s="93">
        <f>'GABARITO DIGITAÇÃO'!B98</f>
        <v>320</v>
      </c>
      <c r="C30" s="7" t="s">
        <v>560</v>
      </c>
      <c r="D30" s="479" t="str">
        <f>'GABARITO DIGITAÇÃO'!D98</f>
        <v>Grosso</v>
      </c>
      <c r="L30" s="23"/>
    </row>
    <row r="31" spans="1:17" s="1" customFormat="1" ht="15.75">
      <c r="A31" s="55" t="s">
        <v>53</v>
      </c>
      <c r="B31" s="51">
        <f>'GABARITO DIGITAÇÃO'!B99</f>
        <v>50</v>
      </c>
      <c r="C31" s="51">
        <f>'GABARITO DIGITAÇÃO'!C99</f>
        <v>60</v>
      </c>
      <c r="D31" s="51">
        <f>'GABARITO DIGITAÇÃO'!D99</f>
        <v>70</v>
      </c>
      <c r="E31" s="51">
        <f>'GABARITO DIGITAÇÃO'!E99</f>
        <v>80</v>
      </c>
      <c r="F31" s="93"/>
      <c r="H31" s="93"/>
      <c r="I31" s="93"/>
      <c r="J31" s="20"/>
      <c r="K31" s="7"/>
      <c r="L31" s="7"/>
    </row>
    <row r="32" spans="1:17" s="12" customFormat="1">
      <c r="A32" s="256" t="s">
        <v>58</v>
      </c>
      <c r="B32" s="14">
        <f>'GABARITO DIGITAÇÃO'!B100</f>
        <v>50.5</v>
      </c>
      <c r="C32" s="14">
        <f>'GABARITO DIGITAÇÃO'!C100</f>
        <v>60</v>
      </c>
      <c r="D32" s="14">
        <f>'GABARITO DIGITAÇÃO'!D100</f>
        <v>69.5</v>
      </c>
      <c r="E32" s="14">
        <f>'GABARITO DIGITAÇÃO'!E100</f>
        <v>79</v>
      </c>
      <c r="F32" s="19"/>
      <c r="H32" s="19"/>
      <c r="I32" s="19"/>
      <c r="J32" s="34"/>
      <c r="K32" s="35"/>
      <c r="L32" s="36"/>
    </row>
    <row r="33" spans="1:17" s="12" customFormat="1">
      <c r="A33" s="16" t="s">
        <v>59</v>
      </c>
      <c r="B33" s="14">
        <f>'GABARITO DIGITAÇÃO'!B101</f>
        <v>50.3</v>
      </c>
      <c r="C33" s="14">
        <f>'GABARITO DIGITAÇÃO'!C101</f>
        <v>60.1</v>
      </c>
      <c r="D33" s="14">
        <f>'GABARITO DIGITAÇÃO'!D101</f>
        <v>69.400000000000006</v>
      </c>
      <c r="E33" s="14">
        <f>'GABARITO DIGITAÇÃO'!E101</f>
        <v>79</v>
      </c>
      <c r="F33" s="19"/>
      <c r="H33" s="19"/>
      <c r="I33" s="19"/>
      <c r="J33" s="34"/>
      <c r="K33" s="37"/>
      <c r="L33" s="37"/>
    </row>
    <row r="34" spans="1:17" s="12" customFormat="1">
      <c r="A34" s="16" t="s">
        <v>60</v>
      </c>
      <c r="B34" s="15">
        <v>50.474289166927335</v>
      </c>
      <c r="C34" s="15">
        <v>60.27477832436562</v>
      </c>
      <c r="D34" s="15">
        <v>69.457460528612145</v>
      </c>
      <c r="E34" s="15">
        <v>78.821401810646051</v>
      </c>
      <c r="F34" s="19"/>
      <c r="H34" s="19"/>
      <c r="I34" s="19"/>
      <c r="J34" s="34"/>
      <c r="K34" s="37"/>
      <c r="L34" s="37"/>
    </row>
    <row r="35" spans="1:17" s="12" customFormat="1">
      <c r="A35" s="16" t="s">
        <v>61</v>
      </c>
      <c r="B35" s="15">
        <v>50.311247372627257</v>
      </c>
      <c r="C35" s="15">
        <v>59.982009339332578</v>
      </c>
      <c r="D35" s="15">
        <v>69.530133497714999</v>
      </c>
      <c r="E35" s="15">
        <v>79.036983299255368</v>
      </c>
      <c r="F35" s="19"/>
      <c r="H35" s="19"/>
      <c r="I35" s="19"/>
      <c r="J35" s="34"/>
      <c r="K35" s="37"/>
      <c r="L35" s="37"/>
    </row>
    <row r="36" spans="1:17" s="12" customFormat="1" ht="15.75">
      <c r="A36" s="65" t="s">
        <v>54</v>
      </c>
      <c r="B36" s="66">
        <f>AVERAGE(B32:B35)</f>
        <v>50.396384134888649</v>
      </c>
      <c r="C36" s="66">
        <f>AVERAGE(C32:C35)</f>
        <v>60.089196915924546</v>
      </c>
      <c r="D36" s="66">
        <f>AVERAGE(D32:D35)</f>
        <v>69.47189850658178</v>
      </c>
      <c r="E36" s="66">
        <f>AVERAGE(E32:E35)</f>
        <v>78.964596277475351</v>
      </c>
      <c r="F36" s="19"/>
      <c r="G36" s="63"/>
      <c r="H36" s="19"/>
      <c r="I36" s="93"/>
      <c r="J36" s="34"/>
      <c r="K36" s="37"/>
      <c r="L36" s="37"/>
    </row>
    <row r="37" spans="1:17" s="12" customFormat="1">
      <c r="A37" s="65" t="s">
        <v>56</v>
      </c>
      <c r="B37" s="57">
        <f>ABS(100*(B31-B36)/B31)</f>
        <v>0.79276826977729797</v>
      </c>
      <c r="C37" s="57">
        <f>ABS(100*(C31-C36)/C31)</f>
        <v>0.14866152654091044</v>
      </c>
      <c r="D37" s="57">
        <f>ABS(100*(D31-D36)/D31)</f>
        <v>0.75443070488317077</v>
      </c>
      <c r="E37" s="57">
        <f>ABS(100*(E31-E36)/E31)</f>
        <v>1.2942546531558108</v>
      </c>
      <c r="F37" s="19"/>
      <c r="G37" s="63"/>
      <c r="H37" s="19"/>
      <c r="I37" s="126"/>
      <c r="J37" s="34"/>
      <c r="K37" s="37"/>
      <c r="L37" s="37"/>
    </row>
    <row r="38" spans="1:17" s="12" customFormat="1" ht="15.75">
      <c r="A38" s="55" t="s">
        <v>57</v>
      </c>
      <c r="B38" s="55" t="str">
        <f>IF(B37&gt;10,"NÃO",IF(B37&lt;-10,"NÃO","SIM"))</f>
        <v>SIM</v>
      </c>
      <c r="C38" s="55" t="str">
        <f>IF(C37&gt;10,"NÃO",IF(C37&lt;-10,"NÃO","SIM"))</f>
        <v>SIM</v>
      </c>
      <c r="D38" s="64" t="str">
        <f>IF(D37&gt;10,"NÃO",IF(D37&lt;-10,"NÃO","SIM"))</f>
        <v>SIM</v>
      </c>
      <c r="E38" s="55" t="str">
        <f>IF(E37&gt;10,"NÃO",IF(E37&lt;-10,"NÃO","SIM"))</f>
        <v>SIM</v>
      </c>
      <c r="F38" s="19"/>
      <c r="G38" s="31"/>
      <c r="H38" s="19"/>
      <c r="I38" s="20"/>
      <c r="J38" s="34"/>
      <c r="K38" s="37"/>
      <c r="L38" s="37"/>
    </row>
    <row r="39" spans="1:17" s="12" customFormat="1" ht="15.75">
      <c r="A39" s="65" t="s">
        <v>55</v>
      </c>
      <c r="B39" s="67">
        <f>STDEV(B32:B35)/B36</f>
        <v>2.0919259731649606E-3</v>
      </c>
      <c r="C39" s="67">
        <f>STDEV(C32:C35)/C36</f>
        <v>2.2327990202954352E-3</v>
      </c>
      <c r="D39" s="67">
        <f>STDEV(D32:D35)/D36</f>
        <v>8.1251843542426774E-4</v>
      </c>
      <c r="E39" s="67">
        <f>STDEV(E32:E35)/E36</f>
        <v>1.2289290566891195E-3</v>
      </c>
      <c r="F39" s="19"/>
      <c r="G39" s="68"/>
      <c r="H39" s="19"/>
      <c r="I39" s="71"/>
      <c r="J39" s="34"/>
      <c r="K39" s="37"/>
      <c r="L39" s="37"/>
    </row>
    <row r="40" spans="1:17" s="12" customFormat="1" ht="15" customHeight="1">
      <c r="A40" s="55" t="s">
        <v>57</v>
      </c>
      <c r="B40" s="55" t="str">
        <f>IF(B39&gt;0.1000000000001,"NÃO",IF(B39&lt;-0.10000000001,"NÃO","SIM"))</f>
        <v>SIM</v>
      </c>
      <c r="C40" s="64" t="str">
        <f>IF(C39&gt;0.1000000000001,"NÃO",IF(C39&lt;-0.10000000001,"NÃO","SIM"))</f>
        <v>SIM</v>
      </c>
      <c r="D40" s="64" t="str">
        <f>IF(D39&gt;0.1000000000001,"NÃO",IF(D39&lt;-0.10000000001,"NÃO","SIM"))</f>
        <v>SIM</v>
      </c>
      <c r="E40" s="55" t="str">
        <f>IF(E39&gt;0.1000000000001,"NÃO",IF(E39&lt;-0.10000000001,"NÃO","SIM"))</f>
        <v>SIM</v>
      </c>
      <c r="F40" s="19"/>
      <c r="G40" s="31"/>
      <c r="H40" s="19"/>
      <c r="I40" s="20"/>
      <c r="J40" s="34"/>
      <c r="K40" s="35"/>
      <c r="L40" s="36"/>
    </row>
    <row r="41" spans="1:17" s="12" customFormat="1" ht="15" customHeight="1">
      <c r="A41" s="1045" t="s">
        <v>211</v>
      </c>
      <c r="B41" s="1045"/>
      <c r="C41" s="1045"/>
      <c r="D41" s="1045"/>
      <c r="E41" s="31"/>
      <c r="F41" s="19"/>
      <c r="G41" s="31"/>
      <c r="H41" s="19"/>
      <c r="I41" s="20"/>
      <c r="J41" s="34"/>
      <c r="K41" s="35"/>
      <c r="L41" s="36"/>
    </row>
    <row r="42" spans="1:17" s="12" customFormat="1" ht="14.25" customHeight="1">
      <c r="A42" s="1046"/>
      <c r="B42" s="1046"/>
      <c r="C42" s="1046"/>
      <c r="D42" s="1046"/>
      <c r="E42" s="1046"/>
      <c r="F42" s="1046"/>
      <c r="G42" s="1046"/>
      <c r="H42" s="1046"/>
      <c r="I42" s="1046"/>
      <c r="J42" s="1046"/>
      <c r="K42" s="1046"/>
      <c r="L42" s="1046"/>
      <c r="M42" s="1046"/>
      <c r="N42" s="1046"/>
      <c r="O42" s="1046"/>
      <c r="P42" s="37"/>
      <c r="Q42" s="37"/>
    </row>
    <row r="43" spans="1:17" s="12" customFormat="1" ht="15.75">
      <c r="A43" s="25" t="s">
        <v>507</v>
      </c>
      <c r="B43" s="20"/>
      <c r="C43" s="20"/>
      <c r="D43" s="20"/>
      <c r="E43" s="34"/>
      <c r="F43" s="20"/>
      <c r="G43" s="20"/>
      <c r="H43" s="20"/>
      <c r="I43" s="20"/>
      <c r="K43" s="34"/>
      <c r="L43" s="35"/>
      <c r="M43" s="36"/>
      <c r="P43" s="37"/>
      <c r="Q43" s="37"/>
    </row>
    <row r="44" spans="1:17" s="12" customFormat="1" ht="15.75">
      <c r="A44" s="1" t="s">
        <v>475</v>
      </c>
      <c r="B44" s="12">
        <f>'GABARITO DIGITAÇÃO'!B107</f>
        <v>80</v>
      </c>
      <c r="C44" s="12" t="str">
        <f>'GABARITO DIGITAÇÃO'!C107</f>
        <v/>
      </c>
      <c r="D44" s="12" t="str">
        <f>IF('GABARITO DIGITAÇÃO'!D107="","",'GABARITO DIGITAÇÃO'!D107)</f>
        <v/>
      </c>
      <c r="E44" s="23" t="s">
        <v>612</v>
      </c>
      <c r="F44" s="19"/>
      <c r="H44" s="19"/>
      <c r="I44" s="19"/>
      <c r="P44" s="38" t="e">
        <f>MAX(#REF!)</f>
        <v>#REF!</v>
      </c>
      <c r="Q44" s="38" t="e">
        <f>MAX(#REF!)</f>
        <v>#REF!</v>
      </c>
    </row>
    <row r="45" spans="1:17" s="12" customFormat="1" ht="15.75">
      <c r="A45" s="55" t="s">
        <v>62</v>
      </c>
      <c r="B45" s="463">
        <f>'GABARITO DIGITAÇÃO'!B108</f>
        <v>10</v>
      </c>
      <c r="C45" s="463">
        <f>'GABARITO DIGITAÇÃO'!C108</f>
        <v>20</v>
      </c>
      <c r="D45" s="463">
        <f>'GABARITO DIGITAÇÃO'!D108</f>
        <v>40</v>
      </c>
      <c r="E45" s="63"/>
      <c r="F45" s="19"/>
      <c r="H45" s="19"/>
      <c r="I45" s="19"/>
      <c r="J45" s="52"/>
      <c r="N45" s="38"/>
      <c r="O45" s="38"/>
    </row>
    <row r="46" spans="1:17" s="12" customFormat="1">
      <c r="A46" s="16" t="s">
        <v>65</v>
      </c>
      <c r="B46" s="14">
        <f>'GABARITO DIGITAÇÃO'!B109</f>
        <v>84.27</v>
      </c>
      <c r="C46" s="14">
        <f>'GABARITO DIGITAÇÃO'!C109</f>
        <v>167.1</v>
      </c>
      <c r="D46" s="14">
        <f>'GABARITO DIGITAÇÃO'!D109</f>
        <v>323.89999999999998</v>
      </c>
      <c r="E46" s="52"/>
      <c r="F46" s="19"/>
      <c r="G46" s="42"/>
      <c r="H46" s="112"/>
      <c r="I46" s="112"/>
      <c r="N46" s="38"/>
      <c r="O46" s="38"/>
    </row>
    <row r="47" spans="1:17" s="12" customFormat="1">
      <c r="A47" s="16" t="s">
        <v>66</v>
      </c>
      <c r="B47" s="14">
        <f>'GABARITO DIGITAÇÃO'!B110</f>
        <v>85.01</v>
      </c>
      <c r="C47" s="14">
        <f>'GABARITO DIGITAÇÃO'!C110</f>
        <v>167.2</v>
      </c>
      <c r="D47" s="14">
        <f>'GABARITO DIGITAÇÃO'!D110</f>
        <v>323.8</v>
      </c>
      <c r="E47" s="52"/>
      <c r="F47" s="19"/>
      <c r="H47" s="19"/>
      <c r="I47" s="19"/>
      <c r="N47" s="38"/>
      <c r="O47" s="38"/>
    </row>
    <row r="48" spans="1:17" s="12" customFormat="1">
      <c r="A48" s="16" t="s">
        <v>67</v>
      </c>
      <c r="B48" s="14">
        <v>84.68</v>
      </c>
      <c r="C48" s="15">
        <v>167.2</v>
      </c>
      <c r="D48" s="15">
        <v>323.8</v>
      </c>
      <c r="E48" s="52"/>
      <c r="F48" s="19"/>
      <c r="H48" s="19"/>
      <c r="I48" s="19"/>
      <c r="N48" s="38"/>
      <c r="O48" s="38"/>
    </row>
    <row r="49" spans="1:17" s="12" customFormat="1">
      <c r="A49" s="16" t="s">
        <v>68</v>
      </c>
      <c r="B49" s="14">
        <v>84.97</v>
      </c>
      <c r="C49" s="14">
        <v>167.1</v>
      </c>
      <c r="D49" s="14">
        <v>323.89999999999998</v>
      </c>
      <c r="E49" s="52"/>
      <c r="F49" s="19"/>
      <c r="H49" s="19"/>
      <c r="I49" s="19"/>
      <c r="N49" s="38"/>
      <c r="O49" s="38"/>
    </row>
    <row r="50" spans="1:17" s="12" customFormat="1">
      <c r="A50" s="66" t="s">
        <v>54</v>
      </c>
      <c r="B50" s="66">
        <f>AVERAGE(B46:B49)</f>
        <v>84.732500000000002</v>
      </c>
      <c r="C50" s="66">
        <f t="shared" ref="C50:D50" si="0">AVERAGE(C46:C49)</f>
        <v>167.14999999999998</v>
      </c>
      <c r="D50" s="66">
        <f t="shared" si="0"/>
        <v>323.85000000000002</v>
      </c>
      <c r="E50" s="69"/>
      <c r="F50" s="19"/>
      <c r="H50" s="19"/>
      <c r="I50" s="19"/>
      <c r="N50" s="38"/>
      <c r="O50" s="38"/>
    </row>
    <row r="51" spans="1:17" s="12" customFormat="1">
      <c r="A51" s="65" t="s">
        <v>63</v>
      </c>
      <c r="B51" s="57">
        <f>100*((MAX(B46:B49)-MIN(B46:B49))/((MAX(B46:B49)+MIN(B46:B49))/2))</f>
        <v>0.87429111531192005</v>
      </c>
      <c r="C51" s="57">
        <f>100*((MAX(C46:C49)-MIN(C46:C49))/((MAX(C46:C49)+MIN(C46:C49))/2))</f>
        <v>5.982650314088802E-2</v>
      </c>
      <c r="D51" s="57">
        <f>100*((MAX(D46:D49)-MIN(D46:D49))/((MAX(D46:D49)+MIN(D46:D49))/2))</f>
        <v>3.0878493129524745E-2</v>
      </c>
      <c r="E51" s="63"/>
      <c r="F51" s="19"/>
      <c r="H51" s="19"/>
      <c r="I51" s="19"/>
      <c r="N51" s="38"/>
      <c r="O51" s="38"/>
    </row>
    <row r="52" spans="1:17" s="12" customFormat="1" ht="15.75">
      <c r="A52" s="55" t="s">
        <v>57</v>
      </c>
      <c r="B52" s="55" t="str">
        <f>IF(B51&gt;10,"NÃO",IF(B51&lt;-10,"NÃO","SIM"))</f>
        <v>SIM</v>
      </c>
      <c r="C52" s="55" t="str">
        <f>IF(C51&gt;10,"NÃO",IF(C51&lt;-10,"NÃO","SIM"))</f>
        <v>SIM</v>
      </c>
      <c r="D52" s="55" t="str">
        <f>IF(D51&gt;10,"NÃO",IF(D51&lt;-10,"NÃO","SIM"))</f>
        <v>SIM</v>
      </c>
      <c r="E52" s="63"/>
      <c r="F52" s="19"/>
      <c r="H52" s="19"/>
      <c r="I52" s="19"/>
      <c r="N52" s="38"/>
      <c r="O52" s="38"/>
    </row>
    <row r="53" spans="1:17" s="12" customFormat="1">
      <c r="A53" s="65" t="s">
        <v>69</v>
      </c>
      <c r="B53" s="57">
        <f>B50/B45</f>
        <v>8.4732500000000002</v>
      </c>
      <c r="C53" s="57">
        <f>C50/C45</f>
        <v>8.3574999999999982</v>
      </c>
      <c r="D53" s="57">
        <f>D50/D45</f>
        <v>8.0962500000000013</v>
      </c>
      <c r="E53" s="69"/>
      <c r="F53" s="19"/>
      <c r="H53" s="19"/>
      <c r="I53" s="19"/>
      <c r="P53" s="38"/>
      <c r="Q53" s="38"/>
    </row>
    <row r="54" spans="1:17" s="12" customFormat="1" ht="15.75">
      <c r="A54" s="55" t="s">
        <v>64</v>
      </c>
      <c r="B54" s="57">
        <f>100*((MAX(B53:E53)-MIN(B53:E53))/((MAX(B53:E53)+MIN(B53:E53))/2))</f>
        <v>4.5505295874950829</v>
      </c>
      <c r="C54" s="70" t="s">
        <v>57</v>
      </c>
      <c r="D54" s="55" t="str">
        <f>IF(B54&gt;20,"NÃO",IF(B54&lt;-20,"NÃO","SIM"))</f>
        <v>SIM</v>
      </c>
      <c r="E54" s="63"/>
      <c r="F54" s="19"/>
      <c r="G54" s="43"/>
      <c r="H54" s="19"/>
      <c r="I54" s="19"/>
      <c r="P54" s="38"/>
      <c r="Q54" s="38"/>
    </row>
    <row r="55" spans="1:17" s="12" customFormat="1" ht="12" customHeight="1">
      <c r="A55" s="1045" t="s">
        <v>613</v>
      </c>
      <c r="B55" s="1045"/>
      <c r="C55" s="1045"/>
      <c r="D55" s="1045"/>
      <c r="E55" s="39"/>
      <c r="F55" s="39"/>
      <c r="G55" s="39"/>
      <c r="H55" s="39"/>
      <c r="I55" s="39"/>
      <c r="J55" s="39"/>
      <c r="K55" s="39"/>
      <c r="L55" s="39"/>
      <c r="M55" s="39"/>
      <c r="N55" s="39"/>
      <c r="O55" s="39"/>
      <c r="P55" s="38"/>
      <c r="Q55" s="38"/>
    </row>
    <row r="56" spans="1:17" s="12" customFormat="1" ht="15" customHeight="1">
      <c r="A56" s="1047" t="s">
        <v>347</v>
      </c>
      <c r="B56" s="1047"/>
      <c r="C56" s="1047"/>
      <c r="D56" s="1047"/>
      <c r="E56" s="1047"/>
      <c r="F56" s="1047"/>
      <c r="G56" s="1047"/>
      <c r="H56" s="1047"/>
      <c r="I56" s="1047"/>
      <c r="J56" s="1047"/>
      <c r="K56" s="1047"/>
      <c r="L56" s="1047"/>
      <c r="M56" s="1047"/>
      <c r="N56" s="1047"/>
      <c r="O56" s="1047"/>
      <c r="P56" s="38"/>
      <c r="Q56" s="38"/>
    </row>
    <row r="57" spans="1:17" s="12" customFormat="1" ht="15" customHeight="1">
      <c r="A57" s="1" t="s">
        <v>1</v>
      </c>
      <c r="B57" s="90">
        <v>80</v>
      </c>
      <c r="C57" s="1" t="s">
        <v>2</v>
      </c>
      <c r="D57" s="90"/>
      <c r="F57" s="19"/>
      <c r="H57" s="19"/>
      <c r="I57" s="19"/>
      <c r="P57" s="37"/>
      <c r="Q57" s="37"/>
    </row>
    <row r="58" spans="1:17" s="12" customFormat="1" ht="15" customHeight="1">
      <c r="A58" s="61" t="s">
        <v>189</v>
      </c>
      <c r="B58" s="51"/>
      <c r="C58" s="51"/>
      <c r="D58" s="51"/>
      <c r="F58" s="19"/>
      <c r="H58" s="19"/>
      <c r="I58" s="19"/>
      <c r="P58" s="37"/>
      <c r="Q58" s="37"/>
    </row>
    <row r="59" spans="1:17" s="12" customFormat="1" ht="15" customHeight="1">
      <c r="A59" s="117" t="s">
        <v>65</v>
      </c>
      <c r="B59" s="261"/>
      <c r="C59" s="262"/>
      <c r="D59" s="262"/>
      <c r="F59" s="19"/>
      <c r="H59" s="19"/>
      <c r="I59" s="19"/>
      <c r="P59" s="37"/>
      <c r="Q59" s="37"/>
    </row>
    <row r="60" spans="1:17" s="12" customFormat="1" ht="15" customHeight="1">
      <c r="A60" s="117" t="s">
        <v>66</v>
      </c>
      <c r="B60" s="261"/>
      <c r="C60" s="262"/>
      <c r="D60" s="262"/>
      <c r="F60" s="19"/>
      <c r="H60" s="19"/>
      <c r="I60" s="19"/>
      <c r="P60" s="37"/>
      <c r="Q60" s="37"/>
    </row>
    <row r="61" spans="1:17" s="12" customFormat="1" ht="15" customHeight="1">
      <c r="A61" s="117" t="s">
        <v>67</v>
      </c>
      <c r="B61" s="261"/>
      <c r="C61" s="262"/>
      <c r="D61" s="262"/>
      <c r="F61" s="19"/>
      <c r="H61" s="19"/>
      <c r="I61" s="19"/>
      <c r="P61" s="37"/>
      <c r="Q61" s="37"/>
    </row>
    <row r="62" spans="1:17" s="12" customFormat="1" ht="15" customHeight="1">
      <c r="A62" s="117" t="s">
        <v>68</v>
      </c>
      <c r="B62" s="261"/>
      <c r="C62" s="261"/>
      <c r="D62" s="261"/>
      <c r="F62" s="19"/>
      <c r="H62" s="19"/>
      <c r="I62" s="19"/>
      <c r="P62" s="37"/>
      <c r="Q62" s="37"/>
    </row>
    <row r="63" spans="1:17" s="12" customFormat="1" ht="15" customHeight="1">
      <c r="A63" s="263" t="s">
        <v>54</v>
      </c>
      <c r="B63" s="263" t="e">
        <f>AVERAGE(B59:B62)</f>
        <v>#DIV/0!</v>
      </c>
      <c r="C63" s="263" t="e">
        <f>AVERAGE(C59:C62)</f>
        <v>#DIV/0!</v>
      </c>
      <c r="D63" s="263" t="e">
        <f>AVERAGE(D59:D62)</f>
        <v>#DIV/0!</v>
      </c>
      <c r="F63" s="19"/>
      <c r="H63" s="19"/>
      <c r="I63" s="19"/>
      <c r="P63" s="37"/>
      <c r="Q63" s="37"/>
    </row>
    <row r="64" spans="1:17" s="12" customFormat="1" ht="15" customHeight="1">
      <c r="A64" s="118" t="s">
        <v>63</v>
      </c>
      <c r="B64" s="264" t="e">
        <f>100*((MAX(B59:B62)-MIN(B59:B62))/((MAX(B59:B62)+MIN(B59:B62))/2))</f>
        <v>#DIV/0!</v>
      </c>
      <c r="C64" s="264" t="e">
        <f>100*((MAX(C59:C62)-MIN(C59:C62))/((MAX(C59:C62)+MIN(C59:C62))/2))</f>
        <v>#DIV/0!</v>
      </c>
      <c r="D64" s="264" t="e">
        <f>100*((MAX(D59:D62)-MIN(D59:D62))/((MAX(D59:D62)+MIN(D59:D62))/2))</f>
        <v>#DIV/0!</v>
      </c>
      <c r="F64" s="19"/>
      <c r="H64" s="19"/>
      <c r="I64" s="19"/>
      <c r="P64" s="37"/>
      <c r="Q64" s="37"/>
    </row>
    <row r="65" spans="1:17" s="12" customFormat="1" ht="15.75">
      <c r="A65" s="61" t="s">
        <v>57</v>
      </c>
      <c r="B65" s="61" t="e">
        <f>IF(B64&gt;10,"NÃO",IF(B64&lt;-10,"NÃO","SIM"))</f>
        <v>#DIV/0!</v>
      </c>
      <c r="C65" s="61" t="e">
        <f>IF(C64&gt;10,"NÃO",IF(C64&lt;-10,"NÃO","SIM"))</f>
        <v>#DIV/0!</v>
      </c>
      <c r="D65" s="61" t="e">
        <f>IF(D64&gt;10,"NÃO",IF(D64&lt;-10,"NÃO","SIM"))</f>
        <v>#DIV/0!</v>
      </c>
      <c r="F65" s="19"/>
      <c r="H65" s="19"/>
      <c r="I65" s="19"/>
      <c r="P65" s="37"/>
      <c r="Q65" s="37"/>
    </row>
    <row r="66" spans="1:17" s="12" customFormat="1" ht="15.75">
      <c r="A66" s="118" t="s">
        <v>69</v>
      </c>
      <c r="B66" s="264" t="e">
        <f>B63/D57</f>
        <v>#DIV/0!</v>
      </c>
      <c r="C66" s="264" t="e">
        <f>C63/D57</f>
        <v>#DIV/0!</v>
      </c>
      <c r="D66" s="264" t="e">
        <f>D63/D57</f>
        <v>#DIV/0!</v>
      </c>
      <c r="F66" s="19"/>
      <c r="H66" s="19"/>
      <c r="I66" s="19"/>
      <c r="P66" s="37"/>
      <c r="Q66" s="37"/>
    </row>
    <row r="67" spans="1:17" s="12" customFormat="1" ht="15.75">
      <c r="A67" s="61" t="s">
        <v>64</v>
      </c>
      <c r="B67" s="264" t="e">
        <f>100*((MAX(B66:E66)-MIN(B66:E66))/((MAX(B66:E66)+MIN(B66:E66))/2))</f>
        <v>#DIV/0!</v>
      </c>
      <c r="C67" s="70" t="s">
        <v>57</v>
      </c>
      <c r="D67" s="61" t="e">
        <f>IF(B67&gt;20,"NÃO",IF(B67&lt;-20,"NÃO","SIM"))</f>
        <v>#DIV/0!</v>
      </c>
      <c r="F67" s="19"/>
      <c r="H67" s="19"/>
      <c r="I67" s="19"/>
      <c r="P67" s="37"/>
      <c r="Q67" s="37"/>
    </row>
    <row r="68" spans="1:17" s="12" customFormat="1">
      <c r="A68" s="1045" t="s">
        <v>210</v>
      </c>
      <c r="B68" s="1045"/>
      <c r="C68" s="1045"/>
      <c r="D68" s="1045"/>
      <c r="F68" s="19"/>
      <c r="H68" s="19"/>
      <c r="I68" s="19"/>
      <c r="P68" s="37"/>
      <c r="Q68" s="37"/>
    </row>
    <row r="69" spans="1:17" s="12" customFormat="1">
      <c r="F69" s="19"/>
      <c r="H69" s="19"/>
      <c r="I69" s="19"/>
      <c r="P69" s="37"/>
      <c r="Q69" s="37"/>
    </row>
    <row r="70" spans="1:17" s="12" customFormat="1">
      <c r="F70" s="19"/>
      <c r="H70" s="19"/>
      <c r="I70" s="19"/>
      <c r="P70" s="37"/>
      <c r="Q70" s="37"/>
    </row>
    <row r="71" spans="1:17" s="12" customFormat="1">
      <c r="F71" s="19"/>
      <c r="H71" s="19"/>
      <c r="I71" s="19"/>
      <c r="P71" s="37"/>
      <c r="Q71" s="37"/>
    </row>
    <row r="73" spans="1:17" s="1" customFormat="1" ht="15.75">
      <c r="F73" s="93"/>
      <c r="H73" s="93"/>
      <c r="I73" s="93"/>
    </row>
    <row r="74" spans="1:17" s="12" customFormat="1">
      <c r="F74" s="19"/>
      <c r="H74" s="19"/>
      <c r="I74" s="19"/>
    </row>
    <row r="75" spans="1:17" s="12" customFormat="1">
      <c r="F75" s="19"/>
      <c r="H75" s="19"/>
      <c r="I75" s="19"/>
    </row>
    <row r="76" spans="1:17" s="12" customFormat="1">
      <c r="F76" s="19"/>
      <c r="H76" s="19"/>
      <c r="I76" s="19"/>
    </row>
    <row r="77" spans="1:17" s="12" customFormat="1">
      <c r="F77" s="19"/>
      <c r="H77" s="19"/>
      <c r="I77" s="19"/>
    </row>
    <row r="78" spans="1:17" s="12" customFormat="1">
      <c r="F78" s="19"/>
      <c r="H78" s="19"/>
      <c r="I78" s="19"/>
    </row>
    <row r="79" spans="1:17" s="63" customFormat="1">
      <c r="F79" s="126"/>
      <c r="H79" s="126"/>
      <c r="I79" s="126"/>
    </row>
    <row r="80" spans="1:17" s="12" customFormat="1">
      <c r="F80" s="19"/>
      <c r="H80" s="19"/>
      <c r="I80" s="19"/>
    </row>
    <row r="81" spans="6:17" s="12" customFormat="1">
      <c r="F81" s="19"/>
      <c r="H81" s="19"/>
      <c r="I81" s="19"/>
    </row>
    <row r="82" spans="6:17" s="12" customFormat="1" ht="15" customHeight="1">
      <c r="F82" s="19"/>
      <c r="H82" s="19"/>
      <c r="I82" s="19"/>
    </row>
    <row r="83" spans="6:17" s="12" customFormat="1">
      <c r="F83" s="19"/>
      <c r="H83" s="19"/>
      <c r="I83" s="19"/>
      <c r="P83" s="37"/>
      <c r="Q83" s="37"/>
    </row>
    <row r="116" spans="1:15" ht="15.75">
      <c r="A116" s="44" t="s">
        <v>95</v>
      </c>
      <c r="B116" s="3"/>
      <c r="C116" s="3"/>
      <c r="D116" s="3"/>
      <c r="F116" s="3"/>
      <c r="G116" s="3"/>
      <c r="H116" s="3"/>
      <c r="I116" s="39"/>
      <c r="J116" s="39"/>
      <c r="K116" s="39"/>
      <c r="L116" s="39"/>
      <c r="M116" s="39"/>
      <c r="N116" s="39"/>
      <c r="O116" s="39"/>
    </row>
    <row r="117" spans="1:15" ht="15.75">
      <c r="A117" s="3"/>
      <c r="B117" s="3"/>
      <c r="C117" s="3"/>
      <c r="D117" s="3"/>
      <c r="F117" s="3"/>
      <c r="G117" s="3"/>
      <c r="H117" s="39"/>
      <c r="I117" s="39"/>
      <c r="J117" s="39"/>
      <c r="K117" s="39"/>
      <c r="L117" s="39"/>
      <c r="M117" s="39"/>
      <c r="N117" s="39"/>
      <c r="O117" s="39"/>
    </row>
    <row r="118" spans="1:15" ht="15.75">
      <c r="A118" s="45" t="s">
        <v>1</v>
      </c>
      <c r="B118" s="45"/>
      <c r="C118" s="45"/>
      <c r="D118" s="45"/>
      <c r="E118" s="110"/>
      <c r="F118" s="3"/>
      <c r="G118" s="3"/>
      <c r="H118" s="39"/>
      <c r="I118" s="39"/>
      <c r="J118" s="39"/>
      <c r="K118" s="39"/>
      <c r="L118" s="39"/>
      <c r="M118" s="39"/>
      <c r="N118" s="39"/>
      <c r="O118" s="39"/>
    </row>
    <row r="119" spans="1:15" ht="15.75">
      <c r="A119" s="13" t="s">
        <v>2</v>
      </c>
      <c r="B119" s="45"/>
      <c r="C119" s="45"/>
      <c r="D119" s="45"/>
      <c r="E119" s="110"/>
      <c r="F119" s="3"/>
      <c r="G119" s="3"/>
      <c r="H119" s="39"/>
      <c r="I119" s="39"/>
      <c r="J119" s="39"/>
      <c r="K119" s="39"/>
      <c r="L119" s="39"/>
      <c r="M119" s="39"/>
      <c r="N119" s="39"/>
      <c r="O119" s="39"/>
    </row>
    <row r="120" spans="1:15" ht="15.75">
      <c r="A120" s="47" t="s">
        <v>97</v>
      </c>
      <c r="B120" s="47" t="s">
        <v>102</v>
      </c>
      <c r="C120" s="3"/>
      <c r="D120" s="47" t="s">
        <v>103</v>
      </c>
      <c r="E120" s="130"/>
      <c r="F120" s="134" t="s">
        <v>104</v>
      </c>
      <c r="G120" s="3"/>
      <c r="H120" s="39"/>
      <c r="I120" s="39"/>
      <c r="J120" s="39"/>
      <c r="K120" s="39"/>
      <c r="L120" s="39"/>
      <c r="M120" s="39"/>
      <c r="N120" s="39"/>
      <c r="O120" s="39"/>
    </row>
    <row r="121" spans="1:15" ht="15.75">
      <c r="A121" s="16" t="s">
        <v>98</v>
      </c>
      <c r="B121" s="16"/>
      <c r="C121" s="16"/>
      <c r="D121" s="16"/>
      <c r="E121" s="131"/>
      <c r="F121" s="50"/>
      <c r="G121" s="3"/>
      <c r="H121" s="39"/>
      <c r="I121" s="39"/>
      <c r="J121" s="39"/>
      <c r="K121" s="39"/>
      <c r="L121" s="39"/>
      <c r="M121" s="39"/>
      <c r="N121" s="39"/>
      <c r="O121" s="39"/>
    </row>
    <row r="122" spans="1:15" ht="15.75">
      <c r="A122" s="16" t="s">
        <v>99</v>
      </c>
      <c r="B122" s="16"/>
      <c r="C122" s="16"/>
      <c r="D122" s="16"/>
      <c r="E122" s="131"/>
      <c r="F122" s="50"/>
      <c r="G122" s="3"/>
      <c r="H122" s="39"/>
      <c r="I122" s="39"/>
      <c r="J122" s="39"/>
      <c r="K122" s="39"/>
      <c r="L122" s="39"/>
      <c r="M122" s="39"/>
      <c r="N122" s="39"/>
      <c r="O122" s="39"/>
    </row>
    <row r="123" spans="1:15" ht="15.75">
      <c r="A123" s="16" t="s">
        <v>100</v>
      </c>
      <c r="B123" s="16"/>
      <c r="C123" s="16"/>
      <c r="D123" s="16"/>
      <c r="E123" s="131"/>
      <c r="F123" s="50"/>
      <c r="G123" s="3"/>
      <c r="H123" s="39"/>
      <c r="I123" s="39"/>
      <c r="J123" s="39"/>
      <c r="K123" s="3"/>
      <c r="L123" s="3"/>
      <c r="M123" s="39"/>
      <c r="N123" s="39"/>
      <c r="O123" s="39"/>
    </row>
    <row r="124" spans="1:15" ht="15.75">
      <c r="A124" s="16" t="s">
        <v>101</v>
      </c>
      <c r="B124" s="16"/>
      <c r="C124" s="16"/>
      <c r="D124" s="16"/>
      <c r="E124" s="131"/>
      <c r="F124" s="50"/>
      <c r="G124" s="3"/>
      <c r="H124" s="39"/>
      <c r="I124" s="39"/>
      <c r="J124" s="39"/>
      <c r="K124" s="19"/>
      <c r="L124" s="3"/>
      <c r="M124" s="39"/>
      <c r="N124" s="39"/>
      <c r="O124" s="39"/>
    </row>
    <row r="125" spans="1:15" ht="15.75">
      <c r="A125" s="32" t="s">
        <v>54</v>
      </c>
      <c r="B125" s="32"/>
      <c r="C125" s="32"/>
      <c r="D125" s="32"/>
      <c r="E125" s="132"/>
      <c r="F125" s="134"/>
      <c r="G125" s="3"/>
      <c r="H125" s="39"/>
      <c r="I125" s="39"/>
      <c r="J125" s="39"/>
      <c r="K125" s="20"/>
      <c r="L125" s="20"/>
      <c r="M125" s="39"/>
      <c r="N125" s="39"/>
      <c r="O125" s="39"/>
    </row>
    <row r="126" spans="1:15" ht="15.75">
      <c r="A126" s="40" t="s">
        <v>96</v>
      </c>
      <c r="B126" s="40">
        <f>B125*0.0087</f>
        <v>0</v>
      </c>
      <c r="C126" s="40"/>
      <c r="D126" s="40">
        <f>D125*0.0087</f>
        <v>0</v>
      </c>
      <c r="E126" s="133"/>
      <c r="F126" s="135">
        <f>F125*0.0087</f>
        <v>0</v>
      </c>
      <c r="G126" s="3"/>
      <c r="H126" s="39"/>
      <c r="I126" s="39"/>
      <c r="J126" s="39"/>
      <c r="K126" s="50"/>
      <c r="L126" s="50"/>
      <c r="M126" s="39"/>
      <c r="N126" s="39"/>
      <c r="O126" s="39"/>
    </row>
    <row r="127" spans="1:15" ht="15.75">
      <c r="A127" s="51" t="s">
        <v>105</v>
      </c>
      <c r="B127" s="51">
        <v>10</v>
      </c>
      <c r="C127" s="51"/>
      <c r="D127" s="51">
        <v>30</v>
      </c>
      <c r="E127" s="89"/>
      <c r="F127" s="93">
        <v>40</v>
      </c>
      <c r="G127" s="3"/>
      <c r="H127" s="39"/>
      <c r="I127" s="39"/>
      <c r="J127" s="39"/>
      <c r="K127" s="50"/>
      <c r="L127" s="50"/>
      <c r="M127" s="39"/>
      <c r="N127" s="39"/>
      <c r="O127" s="39"/>
    </row>
    <row r="128" spans="1:15" ht="15.75">
      <c r="C128" s="3"/>
      <c r="D128" s="3"/>
      <c r="F128" s="3"/>
      <c r="G128" s="3"/>
      <c r="H128" s="39"/>
      <c r="I128" s="39"/>
      <c r="J128" s="39"/>
      <c r="K128" s="50"/>
      <c r="L128" s="50"/>
      <c r="M128" s="39"/>
      <c r="N128" s="39"/>
      <c r="O128" s="39"/>
    </row>
    <row r="129" spans="1:15" ht="15.75">
      <c r="G129" s="3"/>
      <c r="H129" s="39"/>
      <c r="I129" s="39"/>
      <c r="J129" s="39"/>
      <c r="K129" s="50"/>
      <c r="L129" s="50"/>
      <c r="M129" s="39"/>
      <c r="N129" s="39"/>
      <c r="O129" s="39"/>
    </row>
    <row r="130" spans="1:15" ht="15.75">
      <c r="C130" s="3"/>
      <c r="D130" s="3"/>
      <c r="E130" s="10"/>
      <c r="F130" s="3"/>
      <c r="G130" s="3"/>
      <c r="H130" s="39"/>
      <c r="I130" s="39"/>
      <c r="J130" s="39"/>
      <c r="K130" s="20"/>
      <c r="L130" s="20"/>
      <c r="M130" s="39"/>
      <c r="N130" s="39"/>
      <c r="O130" s="39"/>
    </row>
    <row r="131" spans="1:15" ht="15.75">
      <c r="A131" s="45" t="s">
        <v>1</v>
      </c>
      <c r="B131" s="45"/>
      <c r="C131" s="3"/>
      <c r="D131" s="3"/>
      <c r="E131" s="10"/>
      <c r="F131" s="3"/>
      <c r="G131" s="3"/>
      <c r="H131" s="39"/>
      <c r="I131" s="39"/>
      <c r="J131" s="39"/>
      <c r="K131" s="20"/>
      <c r="L131" s="20"/>
      <c r="M131" s="39"/>
      <c r="N131" s="39"/>
      <c r="O131" s="39"/>
    </row>
    <row r="132" spans="1:15" ht="15.75">
      <c r="A132" s="13" t="s">
        <v>2</v>
      </c>
      <c r="B132" s="45"/>
      <c r="C132" s="3"/>
      <c r="D132" s="3"/>
      <c r="E132" s="10"/>
      <c r="F132" s="3"/>
      <c r="G132" s="3"/>
      <c r="H132" s="39"/>
      <c r="I132" s="39"/>
      <c r="J132" s="39"/>
      <c r="K132" s="20"/>
      <c r="L132" s="10"/>
      <c r="M132" s="39"/>
      <c r="N132" s="39"/>
      <c r="O132" s="39"/>
    </row>
    <row r="133" spans="1:15" ht="15.75">
      <c r="A133" s="47" t="s">
        <v>97</v>
      </c>
      <c r="B133" s="47" t="s">
        <v>102</v>
      </c>
      <c r="C133" s="3"/>
      <c r="D133" s="3"/>
      <c r="E133" s="10"/>
      <c r="F133" s="3"/>
      <c r="G133" s="3"/>
      <c r="H133" s="39"/>
      <c r="I133" s="39"/>
      <c r="J133" s="39"/>
      <c r="K133" s="20"/>
      <c r="L133" s="10"/>
      <c r="M133" s="39"/>
      <c r="N133" s="39"/>
      <c r="O133" s="39"/>
    </row>
    <row r="134" spans="1:15" ht="15.75">
      <c r="A134" s="16" t="s">
        <v>98</v>
      </c>
      <c r="B134" s="16"/>
      <c r="C134" s="3"/>
      <c r="D134" s="3"/>
      <c r="E134" s="10"/>
      <c r="F134" s="3"/>
      <c r="G134" s="3"/>
      <c r="H134" s="39"/>
      <c r="I134" s="39"/>
      <c r="J134" s="39"/>
      <c r="K134" s="20"/>
      <c r="L134" s="10"/>
      <c r="M134" s="39"/>
      <c r="N134" s="39"/>
      <c r="O134" s="39"/>
    </row>
    <row r="135" spans="1:15" ht="15.75">
      <c r="A135" s="16" t="s">
        <v>99</v>
      </c>
      <c r="B135" s="16"/>
      <c r="C135" s="3"/>
      <c r="D135" s="3"/>
      <c r="E135" s="10"/>
      <c r="F135" s="3"/>
      <c r="G135" s="3"/>
      <c r="H135" s="39"/>
      <c r="I135" s="39"/>
      <c r="J135" s="39"/>
      <c r="K135" s="20"/>
      <c r="L135" s="10"/>
      <c r="M135" s="39"/>
      <c r="N135" s="39"/>
      <c r="O135" s="39"/>
    </row>
    <row r="136" spans="1:15" ht="15.75">
      <c r="A136" s="16" t="s">
        <v>100</v>
      </c>
      <c r="B136" s="16"/>
      <c r="C136" s="3"/>
      <c r="D136" s="3"/>
      <c r="E136" s="10"/>
      <c r="F136" s="3"/>
      <c r="G136" s="3"/>
      <c r="H136" s="39"/>
      <c r="I136" s="39"/>
      <c r="J136" s="39"/>
      <c r="K136" s="20"/>
      <c r="L136" s="10"/>
      <c r="M136" s="39"/>
      <c r="N136" s="39"/>
      <c r="O136" s="39"/>
    </row>
    <row r="137" spans="1:15" ht="15.75">
      <c r="A137" s="16" t="s">
        <v>101</v>
      </c>
      <c r="B137" s="16"/>
      <c r="C137" s="3"/>
      <c r="D137" s="3"/>
      <c r="E137" s="10"/>
      <c r="F137" s="3"/>
      <c r="G137" s="3"/>
      <c r="H137" s="39"/>
      <c r="I137" s="39"/>
      <c r="J137" s="39"/>
      <c r="K137" s="20"/>
      <c r="L137" s="10"/>
      <c r="M137" s="39"/>
      <c r="N137" s="39"/>
      <c r="O137" s="39"/>
    </row>
    <row r="138" spans="1:15" ht="15.75">
      <c r="A138" s="32" t="s">
        <v>54</v>
      </c>
      <c r="B138" s="32"/>
      <c r="C138" s="3"/>
      <c r="D138" s="3"/>
      <c r="E138" s="10"/>
      <c r="F138" s="3"/>
      <c r="G138" s="3"/>
      <c r="H138" s="39"/>
      <c r="I138" s="39"/>
      <c r="J138" s="39"/>
      <c r="K138" s="20"/>
      <c r="L138" s="10"/>
      <c r="M138" s="39"/>
      <c r="N138" s="39"/>
      <c r="O138" s="39"/>
    </row>
    <row r="139" spans="1:15" ht="15.75">
      <c r="A139" s="40" t="s">
        <v>96</v>
      </c>
      <c r="B139" s="40">
        <f>B138*0.0087</f>
        <v>0</v>
      </c>
      <c r="C139" s="3"/>
      <c r="D139" s="3"/>
      <c r="E139" s="10"/>
      <c r="F139" s="3"/>
      <c r="G139" s="3"/>
      <c r="H139" s="39"/>
      <c r="I139" s="39"/>
      <c r="J139" s="39"/>
      <c r="K139" s="20"/>
      <c r="L139" s="10"/>
      <c r="M139" s="39"/>
      <c r="N139" s="39"/>
      <c r="O139" s="39"/>
    </row>
    <row r="140" spans="1:15" ht="15.75">
      <c r="A140" s="51" t="s">
        <v>105</v>
      </c>
      <c r="B140" s="51">
        <v>10</v>
      </c>
      <c r="C140" s="3"/>
      <c r="D140" s="3"/>
      <c r="E140" s="10"/>
      <c r="F140" s="3"/>
      <c r="G140" s="3"/>
      <c r="H140" s="39"/>
      <c r="I140" s="39"/>
      <c r="J140" s="39"/>
      <c r="K140" s="20"/>
      <c r="L140" s="10"/>
      <c r="M140" s="39"/>
      <c r="N140" s="39"/>
      <c r="O140" s="39"/>
    </row>
    <row r="141" spans="1:15" ht="15.75">
      <c r="C141" s="3"/>
      <c r="D141" s="3"/>
      <c r="E141" s="10"/>
      <c r="F141" s="3"/>
      <c r="G141" s="3"/>
      <c r="H141" s="39"/>
      <c r="I141" s="39"/>
      <c r="J141" s="39"/>
      <c r="K141" s="20"/>
      <c r="L141" s="10"/>
      <c r="M141" s="39"/>
      <c r="N141" s="39"/>
      <c r="O141" s="39"/>
    </row>
    <row r="142" spans="1:15" ht="15.75">
      <c r="A142" s="45" t="s">
        <v>1</v>
      </c>
      <c r="B142" s="45"/>
      <c r="C142" s="45"/>
      <c r="D142" s="45"/>
      <c r="E142" s="10"/>
      <c r="F142" s="3"/>
      <c r="G142" s="3"/>
      <c r="H142" s="39"/>
      <c r="I142" s="39"/>
      <c r="J142" s="39"/>
      <c r="K142" s="20"/>
      <c r="L142" s="10"/>
      <c r="M142" s="39"/>
      <c r="N142" s="39"/>
      <c r="O142" s="39"/>
    </row>
    <row r="143" spans="1:15" ht="15.75">
      <c r="A143" s="13" t="s">
        <v>2</v>
      </c>
      <c r="B143" s="45"/>
      <c r="C143" s="45"/>
      <c r="D143" s="45"/>
      <c r="E143" s="10"/>
      <c r="F143" s="3"/>
      <c r="G143" s="3"/>
      <c r="H143" s="39"/>
      <c r="I143" s="39"/>
      <c r="J143" s="39"/>
      <c r="K143" s="20"/>
      <c r="L143" s="10"/>
      <c r="M143" s="39"/>
      <c r="N143" s="39"/>
      <c r="O143" s="39"/>
    </row>
    <row r="144" spans="1:15" ht="15.75">
      <c r="A144" s="47" t="s">
        <v>106</v>
      </c>
      <c r="B144" s="47" t="s">
        <v>102</v>
      </c>
      <c r="C144" s="3"/>
      <c r="D144" s="47" t="s">
        <v>107</v>
      </c>
      <c r="E144" s="10"/>
      <c r="F144" s="3"/>
      <c r="G144" s="3"/>
      <c r="H144" s="39"/>
      <c r="I144" s="39"/>
      <c r="J144" s="39"/>
      <c r="K144" s="20"/>
      <c r="L144" s="10"/>
      <c r="M144" s="39"/>
      <c r="N144" s="39"/>
      <c r="O144" s="39"/>
    </row>
    <row r="145" spans="1:15" ht="15.75">
      <c r="A145" s="16" t="s">
        <v>98</v>
      </c>
      <c r="B145" s="16"/>
      <c r="C145" s="16"/>
      <c r="D145" s="16"/>
      <c r="E145" s="10"/>
      <c r="F145" s="3"/>
      <c r="G145" s="3"/>
      <c r="H145" s="39"/>
      <c r="I145" s="39"/>
      <c r="J145" s="39"/>
      <c r="K145" s="20"/>
      <c r="L145" s="10"/>
      <c r="M145" s="39"/>
      <c r="N145" s="39"/>
      <c r="O145" s="39"/>
    </row>
    <row r="146" spans="1:15" ht="15.75">
      <c r="A146" s="16" t="s">
        <v>99</v>
      </c>
      <c r="B146" s="16"/>
      <c r="C146" s="16"/>
      <c r="D146" s="16"/>
      <c r="E146" s="10"/>
      <c r="F146" s="3"/>
      <c r="G146" s="3"/>
      <c r="H146" s="39"/>
      <c r="I146" s="39"/>
      <c r="J146" s="39"/>
      <c r="K146" s="20"/>
      <c r="L146" s="10"/>
      <c r="M146" s="39"/>
      <c r="N146" s="39"/>
      <c r="O146" s="39"/>
    </row>
    <row r="147" spans="1:15" ht="15.75">
      <c r="A147" s="16" t="s">
        <v>100</v>
      </c>
      <c r="B147" s="16"/>
      <c r="C147" s="16"/>
      <c r="D147" s="16"/>
      <c r="E147" s="10"/>
      <c r="F147" s="3"/>
      <c r="G147" s="3"/>
      <c r="H147" s="39"/>
      <c r="I147" s="39"/>
      <c r="J147" s="39"/>
      <c r="K147" s="20"/>
      <c r="L147" s="10"/>
      <c r="M147" s="39"/>
      <c r="N147" s="39"/>
      <c r="O147" s="39"/>
    </row>
    <row r="148" spans="1:15" ht="15.75">
      <c r="A148" s="16" t="s">
        <v>101</v>
      </c>
      <c r="B148" s="16"/>
      <c r="C148" s="16"/>
      <c r="D148" s="16"/>
      <c r="E148" s="10"/>
      <c r="F148" s="3"/>
      <c r="G148" s="3"/>
      <c r="H148" s="39"/>
      <c r="I148" s="39"/>
      <c r="J148" s="39"/>
      <c r="K148" s="20"/>
      <c r="L148" s="10"/>
      <c r="M148" s="39"/>
      <c r="N148" s="39"/>
      <c r="O148" s="39"/>
    </row>
    <row r="149" spans="1:15" ht="15.75">
      <c r="A149" s="32" t="s">
        <v>54</v>
      </c>
      <c r="B149" s="32"/>
      <c r="C149" s="32"/>
      <c r="D149" s="32"/>
      <c r="E149" s="10"/>
      <c r="F149" s="3"/>
      <c r="G149" s="3"/>
      <c r="H149" s="39"/>
      <c r="I149" s="39"/>
      <c r="J149" s="39"/>
      <c r="K149" s="20"/>
      <c r="L149" s="10"/>
      <c r="M149" s="39"/>
      <c r="N149" s="39"/>
      <c r="O149" s="39"/>
    </row>
    <row r="150" spans="1:15" ht="15.75">
      <c r="A150" s="40" t="s">
        <v>96</v>
      </c>
      <c r="B150" s="40">
        <f>B149*0.0087</f>
        <v>0</v>
      </c>
      <c r="C150" s="40"/>
      <c r="D150" s="40">
        <f>D149*0.0087</f>
        <v>0</v>
      </c>
      <c r="E150" s="10"/>
      <c r="F150" s="3"/>
      <c r="G150" s="3"/>
      <c r="H150" s="39"/>
      <c r="I150" s="39"/>
      <c r="J150" s="39"/>
      <c r="K150" s="20"/>
      <c r="L150" s="10"/>
      <c r="M150" s="39"/>
      <c r="N150" s="39"/>
      <c r="O150" s="39"/>
    </row>
    <row r="151" spans="1:15" ht="15.75">
      <c r="A151" s="51" t="s">
        <v>105</v>
      </c>
      <c r="B151" s="51">
        <v>0.4</v>
      </c>
      <c r="C151" s="51"/>
      <c r="D151" s="51">
        <v>1.5</v>
      </c>
      <c r="E151" s="10"/>
      <c r="F151" s="3"/>
      <c r="G151" s="3"/>
      <c r="H151" s="39"/>
      <c r="I151" s="39"/>
      <c r="J151" s="39"/>
      <c r="K151" s="20"/>
      <c r="L151" s="10"/>
      <c r="M151" s="39"/>
      <c r="N151" s="39"/>
      <c r="O151" s="39"/>
    </row>
    <row r="152" spans="1:15" ht="15.75">
      <c r="C152" s="3"/>
      <c r="D152" s="3"/>
      <c r="E152" s="10"/>
      <c r="F152" s="3"/>
      <c r="G152" s="3"/>
      <c r="H152" s="39"/>
      <c r="I152" s="39"/>
      <c r="J152" s="39"/>
      <c r="K152" s="20"/>
      <c r="L152" s="10"/>
      <c r="M152" s="39"/>
      <c r="N152" s="39"/>
      <c r="O152" s="39"/>
    </row>
    <row r="153" spans="1:15" ht="15.75">
      <c r="A153" s="45" t="s">
        <v>1</v>
      </c>
      <c r="B153" s="45"/>
      <c r="C153" s="45"/>
      <c r="D153" s="45"/>
      <c r="E153" s="10"/>
      <c r="F153" s="3"/>
      <c r="G153" s="3"/>
      <c r="H153" s="39"/>
      <c r="I153" s="39"/>
      <c r="J153" s="39"/>
      <c r="K153" s="20"/>
      <c r="L153" s="10"/>
      <c r="M153" s="39"/>
      <c r="N153" s="39"/>
      <c r="O153" s="39"/>
    </row>
    <row r="154" spans="1:15" ht="15.75">
      <c r="A154" s="13" t="s">
        <v>2</v>
      </c>
      <c r="B154" s="45"/>
      <c r="C154" s="45"/>
      <c r="D154" s="45"/>
      <c r="E154" s="10"/>
      <c r="F154" s="3"/>
      <c r="G154" s="3"/>
      <c r="H154" s="39"/>
      <c r="I154" s="39"/>
      <c r="J154" s="39"/>
      <c r="K154" s="20"/>
      <c r="L154" s="10"/>
      <c r="M154" s="39"/>
      <c r="N154" s="39"/>
      <c r="O154" s="39"/>
    </row>
    <row r="155" spans="1:15" ht="15.75">
      <c r="A155" s="47" t="s">
        <v>110</v>
      </c>
      <c r="B155" s="47" t="s">
        <v>108</v>
      </c>
      <c r="C155" s="3"/>
      <c r="D155" s="47" t="s">
        <v>109</v>
      </c>
      <c r="E155" s="10"/>
      <c r="F155" s="3"/>
      <c r="G155" s="3"/>
      <c r="H155" s="39"/>
      <c r="I155" s="39"/>
      <c r="J155" s="39"/>
      <c r="K155" s="20"/>
      <c r="L155" s="10"/>
      <c r="M155" s="39"/>
      <c r="N155" s="39"/>
      <c r="O155" s="39"/>
    </row>
    <row r="156" spans="1:15" ht="15.75">
      <c r="A156" s="16" t="s">
        <v>98</v>
      </c>
      <c r="B156" s="16"/>
      <c r="C156" s="16"/>
      <c r="D156" s="16"/>
      <c r="E156" s="10"/>
      <c r="F156" s="3"/>
      <c r="G156" s="3"/>
      <c r="H156" s="39"/>
      <c r="I156" s="39"/>
      <c r="J156" s="39"/>
      <c r="K156" s="20"/>
      <c r="L156" s="10"/>
      <c r="M156" s="39"/>
      <c r="N156" s="39"/>
      <c r="O156" s="39"/>
    </row>
    <row r="157" spans="1:15" ht="15.75">
      <c r="A157" s="16" t="s">
        <v>99</v>
      </c>
      <c r="B157" s="16"/>
      <c r="C157" s="16"/>
      <c r="D157" s="16"/>
      <c r="E157" s="10"/>
      <c r="F157" s="3"/>
      <c r="G157" s="3"/>
      <c r="H157" s="39"/>
      <c r="I157" s="39"/>
      <c r="J157" s="39"/>
      <c r="K157" s="20"/>
      <c r="L157" s="10"/>
      <c r="M157" s="39"/>
      <c r="N157" s="39"/>
      <c r="O157" s="39"/>
    </row>
    <row r="158" spans="1:15" ht="15.75">
      <c r="A158" s="16" t="s">
        <v>100</v>
      </c>
      <c r="B158" s="16"/>
      <c r="C158" s="16"/>
      <c r="D158" s="16"/>
      <c r="E158" s="10"/>
      <c r="F158" s="3"/>
      <c r="G158" s="3"/>
      <c r="H158" s="39"/>
      <c r="I158" s="39"/>
      <c r="J158" s="39"/>
      <c r="K158" s="20"/>
      <c r="L158" s="10"/>
      <c r="M158" s="39"/>
      <c r="N158" s="39"/>
      <c r="O158" s="39"/>
    </row>
    <row r="159" spans="1:15" ht="15.75">
      <c r="A159" s="16" t="s">
        <v>101</v>
      </c>
      <c r="B159" s="16"/>
      <c r="C159" s="16"/>
      <c r="D159" s="16"/>
      <c r="E159" s="10"/>
      <c r="F159" s="3"/>
      <c r="G159" s="3"/>
      <c r="H159" s="39"/>
      <c r="I159" s="39"/>
      <c r="J159" s="39"/>
      <c r="K159" s="20"/>
      <c r="L159" s="10"/>
      <c r="M159" s="39"/>
      <c r="N159" s="39"/>
      <c r="O159" s="39"/>
    </row>
    <row r="160" spans="1:15" ht="15.75">
      <c r="A160" s="32" t="s">
        <v>54</v>
      </c>
      <c r="B160" s="32"/>
      <c r="C160" s="32"/>
      <c r="D160" s="32"/>
      <c r="E160" s="10"/>
      <c r="F160" s="3"/>
      <c r="G160" s="3"/>
      <c r="H160" s="39"/>
      <c r="I160" s="39"/>
      <c r="J160" s="39"/>
      <c r="K160" s="20"/>
      <c r="L160" s="10"/>
      <c r="M160" s="39"/>
      <c r="N160" s="39"/>
      <c r="O160" s="39"/>
    </row>
    <row r="161" spans="1:15" ht="15.75">
      <c r="A161" s="40" t="s">
        <v>96</v>
      </c>
      <c r="B161" s="40">
        <f>B160*0.0087</f>
        <v>0</v>
      </c>
      <c r="C161" s="40"/>
      <c r="D161" s="40">
        <f>D160*0.0087</f>
        <v>0</v>
      </c>
      <c r="E161" s="10"/>
      <c r="F161" s="3"/>
      <c r="G161" s="3"/>
      <c r="H161" s="39"/>
      <c r="I161" s="39"/>
      <c r="J161" s="39"/>
      <c r="K161" s="39"/>
      <c r="L161" s="39"/>
      <c r="M161" s="39"/>
      <c r="N161" s="39"/>
      <c r="O161" s="39"/>
    </row>
    <row r="162" spans="1:15" ht="15.75">
      <c r="A162" s="51" t="s">
        <v>105</v>
      </c>
      <c r="B162" s="51">
        <v>5</v>
      </c>
      <c r="C162" s="51"/>
      <c r="D162" s="51">
        <v>3</v>
      </c>
      <c r="E162" s="24"/>
      <c r="F162" s="39"/>
      <c r="G162" s="39"/>
      <c r="H162" s="39"/>
      <c r="I162" s="39"/>
      <c r="J162" s="39"/>
      <c r="K162" s="39"/>
      <c r="L162" s="39"/>
      <c r="M162" s="39"/>
      <c r="N162" s="39"/>
      <c r="O162" s="39"/>
    </row>
    <row r="163" spans="1:15" ht="15.75">
      <c r="C163" s="46"/>
      <c r="D163" s="48"/>
      <c r="E163" s="48"/>
      <c r="F163" s="49"/>
      <c r="G163" s="49"/>
      <c r="H163" s="49"/>
      <c r="I163" s="49"/>
      <c r="J163" s="49"/>
      <c r="K163" s="49"/>
      <c r="L163" s="49"/>
      <c r="M163" s="49"/>
      <c r="N163" s="49"/>
      <c r="O163" s="49"/>
    </row>
    <row r="164" spans="1:15" ht="15.75">
      <c r="C164" s="46"/>
      <c r="D164" s="48"/>
      <c r="E164" s="48"/>
      <c r="F164" s="49"/>
      <c r="G164" s="49"/>
      <c r="H164" s="49"/>
      <c r="I164" s="49"/>
      <c r="J164" s="49"/>
      <c r="K164" s="49"/>
      <c r="L164" s="49"/>
      <c r="M164" s="49"/>
      <c r="N164" s="49"/>
      <c r="O164" s="49"/>
    </row>
    <row r="165" spans="1:15">
      <c r="C165" s="10"/>
      <c r="D165" s="10"/>
      <c r="E165" s="10"/>
      <c r="G165" s="10"/>
      <c r="J165" s="10"/>
      <c r="K165" s="10"/>
      <c r="L165" s="10"/>
      <c r="M165" s="10"/>
      <c r="N165" s="10"/>
      <c r="O165" s="10"/>
    </row>
    <row r="166" spans="1:15" ht="15.75">
      <c r="A166" s="24"/>
    </row>
    <row r="167" spans="1:15" ht="15.75">
      <c r="A167" s="24"/>
    </row>
    <row r="168" spans="1:15" ht="15.75">
      <c r="A168" s="24"/>
    </row>
    <row r="169" spans="1:15" ht="15.75">
      <c r="A169" s="24"/>
    </row>
    <row r="170" spans="1:15" ht="15.75">
      <c r="A170" s="2"/>
    </row>
    <row r="171" spans="1:15" ht="15.75">
      <c r="A171" s="2"/>
    </row>
    <row r="172" spans="1:15" ht="15.75">
      <c r="A172" s="2"/>
    </row>
  </sheetData>
  <mergeCells count="6">
    <mergeCell ref="A68:D68"/>
    <mergeCell ref="A42:O42"/>
    <mergeCell ref="A56:O56"/>
    <mergeCell ref="A1:E1"/>
    <mergeCell ref="A55:D55"/>
    <mergeCell ref="A41:D41"/>
  </mergeCells>
  <phoneticPr fontId="21" type="noConversion"/>
  <conditionalFormatting sqref="B10:E11 B22:E23 B34:E34 B48:D49">
    <cfRule type="cellIs" dxfId="1" priority="1" operator="equal">
      <formula>""</formula>
    </cfRule>
  </conditionalFormatting>
  <printOptions horizontalCentered="1" verticalCentered="1"/>
  <pageMargins left="0.78740157480314965" right="0.78740157480314965" top="1.7716535433070868" bottom="0.98425196850393704" header="0.51181102362204722" footer="0.51181102362204722"/>
  <pageSetup paperSize="9" scale="80" orientation="portrait" r:id="rId1"/>
  <headerFooter alignWithMargins="0">
    <oddFooter>&amp;L&amp;8
&amp;F &amp;C4</oddFooter>
  </headerFooter>
  <drawing r:id="rId2"/>
  <legacyDrawing r:id="rId3"/>
  <legacyDrawingHF r:id="rId4"/>
  <controls>
    <mc:AlternateContent xmlns:mc="http://schemas.openxmlformats.org/markup-compatibility/2006">
      <mc:Choice Requires="x14">
        <control shapeId="4147" r:id="rId5" name="Gerador_kVp">
          <controlPr defaultSize="0" print="0" autoLine="0" autoPict="0" r:id="rId6">
            <anchor moveWithCells="1">
              <from>
                <xdr:col>4</xdr:col>
                <xdr:colOff>333375</xdr:colOff>
                <xdr:row>7</xdr:row>
                <xdr:rowOff>133350</xdr:rowOff>
              </from>
              <to>
                <xdr:col>7</xdr:col>
                <xdr:colOff>152400</xdr:colOff>
                <xdr:row>11</xdr:row>
                <xdr:rowOff>76200</xdr:rowOff>
              </to>
            </anchor>
          </controlPr>
        </control>
      </mc:Choice>
      <mc:Fallback>
        <control shapeId="4147" r:id="rId5" name="Gerador_kV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dimension ref="A1:O59"/>
  <sheetViews>
    <sheetView view="pageBreakPreview" zoomScale="90" zoomScaleNormal="100" zoomScaleSheetLayoutView="90" workbookViewId="0">
      <selection activeCell="G42" sqref="G42"/>
    </sheetView>
  </sheetViews>
  <sheetFormatPr defaultRowHeight="12.75"/>
  <cols>
    <col min="1" max="1" width="19.5703125" style="136" customWidth="1"/>
    <col min="2" max="6" width="13.42578125" style="136" customWidth="1"/>
    <col min="7" max="7" width="14.42578125" style="136" customWidth="1"/>
    <col min="8" max="8" width="9.28515625" style="136" bestFit="1" customWidth="1"/>
    <col min="9" max="9" width="9.140625" style="136"/>
    <col min="10" max="10" width="9.28515625" style="136" bestFit="1" customWidth="1"/>
    <col min="11" max="11" width="9.140625" style="136"/>
    <col min="12" max="12" width="9.28515625" style="136" bestFit="1" customWidth="1"/>
    <col min="13" max="14" width="9.140625" style="136"/>
    <col min="15" max="15" width="9.85546875" style="136" customWidth="1"/>
    <col min="16" max="16384" width="9.140625" style="136"/>
  </cols>
  <sheetData>
    <row r="1" spans="1:15" ht="18">
      <c r="A1" s="1051" t="s">
        <v>134</v>
      </c>
      <c r="B1" s="1051"/>
      <c r="C1" s="1051"/>
      <c r="D1" s="1051"/>
      <c r="E1" s="1051"/>
      <c r="F1" s="1051"/>
      <c r="G1" s="1051"/>
      <c r="H1" s="514"/>
      <c r="I1" s="156"/>
      <c r="J1" s="156"/>
      <c r="K1" s="156"/>
      <c r="L1" s="156"/>
    </row>
    <row r="3" spans="1:15" ht="15.75">
      <c r="A3" s="377" t="s">
        <v>505</v>
      </c>
      <c r="B3" s="44"/>
      <c r="C3" s="11"/>
      <c r="D3" s="11"/>
      <c r="E3" s="11"/>
      <c r="F3" s="11"/>
      <c r="G3" s="11"/>
      <c r="H3" s="11"/>
      <c r="I3" s="11"/>
      <c r="J3" s="88"/>
      <c r="K3" s="88"/>
      <c r="L3" s="11"/>
      <c r="M3" s="6"/>
      <c r="N3" s="6"/>
      <c r="O3" s="11"/>
    </row>
    <row r="4" spans="1:15" ht="27" customHeight="1" thickBot="1">
      <c r="A4" s="12"/>
      <c r="B4" s="11"/>
      <c r="C4" s="11"/>
      <c r="D4" s="11"/>
      <c r="E4" s="11"/>
      <c r="H4" s="11"/>
      <c r="I4" s="11"/>
      <c r="J4" s="88"/>
      <c r="K4" s="88"/>
      <c r="L4" s="11"/>
      <c r="M4" s="6"/>
      <c r="N4" s="6"/>
      <c r="O4" s="11"/>
    </row>
    <row r="5" spans="1:15" ht="24" customHeight="1" thickBot="1">
      <c r="A5" s="41" t="s">
        <v>611</v>
      </c>
      <c r="B5" s="41" t="s">
        <v>610</v>
      </c>
      <c r="C5" s="12"/>
      <c r="D5" s="1049" t="s">
        <v>477</v>
      </c>
      <c r="E5" s="1050"/>
      <c r="F5" s="1057" t="s">
        <v>476</v>
      </c>
      <c r="G5" s="1058"/>
      <c r="H5" s="12"/>
      <c r="I5" s="12"/>
      <c r="J5" s="88"/>
      <c r="K5" s="88"/>
      <c r="L5" s="11"/>
      <c r="M5" s="6"/>
      <c r="N5" s="6"/>
      <c r="O5" s="11"/>
    </row>
    <row r="6" spans="1:15" ht="15.75">
      <c r="A6" s="13" t="s">
        <v>65</v>
      </c>
      <c r="B6" s="15">
        <f>kVp!D46</f>
        <v>323.89999999999998</v>
      </c>
      <c r="C6" s="12"/>
      <c r="D6" s="907" t="s">
        <v>1</v>
      </c>
      <c r="E6" s="908">
        <f>kVp!$B$44</f>
        <v>80</v>
      </c>
      <c r="F6" s="1059" t="s">
        <v>637</v>
      </c>
      <c r="G6" s="1060"/>
      <c r="H6" s="12"/>
      <c r="I6" s="12"/>
      <c r="J6" s="88"/>
      <c r="K6" s="88"/>
      <c r="L6" s="11"/>
      <c r="M6" s="6"/>
      <c r="N6" s="6"/>
      <c r="O6" s="11"/>
    </row>
    <row r="7" spans="1:15" ht="15.75" thickBot="1">
      <c r="A7" s="13" t="s">
        <v>66</v>
      </c>
      <c r="B7" s="15">
        <f>kVp!D47</f>
        <v>323.8</v>
      </c>
      <c r="C7" s="12"/>
      <c r="D7" s="289" t="s">
        <v>487</v>
      </c>
      <c r="E7" s="906">
        <v>100</v>
      </c>
      <c r="F7" s="1061" t="s">
        <v>638</v>
      </c>
      <c r="G7" s="1062"/>
      <c r="H7" s="12"/>
      <c r="I7" s="12"/>
      <c r="J7" s="88"/>
      <c r="K7" s="88"/>
      <c r="L7" s="11"/>
      <c r="M7" s="6"/>
      <c r="N7" s="6"/>
      <c r="O7" s="11"/>
    </row>
    <row r="8" spans="1:15" ht="18.75">
      <c r="A8" s="13" t="s">
        <v>67</v>
      </c>
      <c r="B8" s="15">
        <f>kVp!D48</f>
        <v>323.8</v>
      </c>
      <c r="C8" s="12"/>
      <c r="D8" s="176" t="s">
        <v>71</v>
      </c>
      <c r="E8" s="906">
        <v>1</v>
      </c>
      <c r="F8" s="1059" t="s">
        <v>635</v>
      </c>
      <c r="G8" s="1060"/>
      <c r="H8" s="12"/>
      <c r="I8" s="12"/>
      <c r="J8" s="88"/>
      <c r="K8" s="88"/>
      <c r="L8" s="11"/>
      <c r="M8" s="6"/>
      <c r="N8" s="6"/>
      <c r="O8" s="11"/>
    </row>
    <row r="9" spans="1:15" ht="16.5" thickBot="1">
      <c r="A9" s="217" t="s">
        <v>68</v>
      </c>
      <c r="B9" s="867">
        <f>kVp!D49</f>
        <v>323.89999999999998</v>
      </c>
      <c r="C9" s="12"/>
      <c r="D9" s="909" t="s">
        <v>2</v>
      </c>
      <c r="E9" s="910">
        <f>kVp!D45</f>
        <v>40</v>
      </c>
      <c r="F9" s="1061" t="s">
        <v>639</v>
      </c>
      <c r="G9" s="1062"/>
      <c r="H9" s="11"/>
      <c r="I9" s="11"/>
      <c r="J9" s="88"/>
      <c r="K9" s="88"/>
      <c r="L9" s="11"/>
      <c r="M9" s="6"/>
      <c r="N9" s="6"/>
      <c r="O9" s="11"/>
    </row>
    <row r="10" spans="1:15" ht="15.75">
      <c r="A10" s="225" t="s">
        <v>54</v>
      </c>
      <c r="B10" s="866">
        <f>AVERAGE(B6:B9)</f>
        <v>323.85000000000002</v>
      </c>
      <c r="C10" s="12"/>
      <c r="D10" s="91"/>
      <c r="E10" s="11"/>
      <c r="H10" s="11"/>
      <c r="I10" s="11"/>
      <c r="J10" s="88"/>
      <c r="K10" s="88"/>
      <c r="L10" s="11"/>
      <c r="M10" s="6"/>
      <c r="N10" s="6"/>
      <c r="O10" s="11"/>
    </row>
    <row r="11" spans="1:15" ht="16.5" thickBot="1">
      <c r="A11" s="12"/>
      <c r="B11" s="12"/>
      <c r="C11" s="12"/>
      <c r="E11" s="11"/>
      <c r="F11" s="33" t="str">
        <f>CONCATENATE("Ref. ",YEAR(Capa!C4)-1)</f>
        <v>Ref. 2017</v>
      </c>
      <c r="H11" s="11"/>
      <c r="I11" s="11"/>
      <c r="J11" s="88"/>
      <c r="K11" s="88"/>
      <c r="L11" s="11"/>
      <c r="M11" s="6"/>
      <c r="N11" s="6"/>
      <c r="O11" s="11"/>
    </row>
    <row r="12" spans="1:15" ht="16.5" thickBot="1">
      <c r="A12" s="12"/>
      <c r="B12" s="1054" t="s">
        <v>636</v>
      </c>
      <c r="C12" s="1055"/>
      <c r="D12" s="92">
        <f>(0.876*B10*E8*0.01*1000)/E9</f>
        <v>70.923150000000007</v>
      </c>
      <c r="E12" s="11"/>
      <c r="F12" s="30">
        <f>'GABARITO DIGITAÇÃO'!E116*1000/60</f>
        <v>60.833333333333336</v>
      </c>
      <c r="H12" s="11"/>
      <c r="I12" s="11"/>
      <c r="J12" s="88"/>
      <c r="K12" s="88"/>
      <c r="L12" s="11"/>
      <c r="M12" s="6"/>
      <c r="N12" s="6"/>
      <c r="O12" s="11"/>
    </row>
    <row r="13" spans="1:15" ht="15">
      <c r="A13" s="11"/>
      <c r="B13" s="11"/>
      <c r="C13" s="11"/>
      <c r="D13" s="11"/>
      <c r="E13" s="11"/>
      <c r="H13" s="11"/>
      <c r="I13" s="11"/>
      <c r="J13" s="88"/>
      <c r="K13" s="88"/>
      <c r="L13" s="11"/>
      <c r="M13" s="6"/>
      <c r="N13" s="6"/>
      <c r="O13" s="11"/>
    </row>
    <row r="14" spans="1:15" ht="15.75">
      <c r="A14" s="377" t="s">
        <v>508</v>
      </c>
      <c r="B14" s="12"/>
      <c r="C14" s="12"/>
      <c r="D14" s="11"/>
      <c r="E14" s="11"/>
      <c r="F14" s="11"/>
      <c r="H14" s="11"/>
      <c r="I14" s="11"/>
      <c r="J14" s="88"/>
      <c r="K14" s="88"/>
      <c r="L14" s="11"/>
      <c r="M14" s="6"/>
      <c r="N14" s="6"/>
      <c r="O14" s="11"/>
    </row>
    <row r="15" spans="1:15" ht="15">
      <c r="A15" s="12"/>
      <c r="B15" s="12"/>
      <c r="C15" s="12"/>
      <c r="D15" s="11"/>
      <c r="E15" s="11"/>
      <c r="H15" s="11"/>
      <c r="I15" s="11"/>
      <c r="J15" s="88"/>
      <c r="K15" s="88"/>
      <c r="L15" s="11"/>
      <c r="M15" s="6"/>
      <c r="N15" s="6"/>
      <c r="O15" s="11"/>
    </row>
    <row r="16" spans="1:15" ht="15.75">
      <c r="A16" s="7" t="s">
        <v>475</v>
      </c>
      <c r="B16" s="142">
        <f>'GABARITO DIGITAÇÃO'!B120</f>
        <v>60</v>
      </c>
      <c r="C16" s="12"/>
      <c r="D16" s="12"/>
      <c r="E16" s="12"/>
      <c r="H16" s="12"/>
      <c r="I16" s="6"/>
      <c r="J16" s="6"/>
      <c r="K16" s="6"/>
      <c r="L16" s="23"/>
      <c r="M16" s="6"/>
      <c r="N16" s="6"/>
      <c r="O16" s="6"/>
    </row>
    <row r="17" spans="1:15" ht="15.75">
      <c r="A17" s="33" t="s">
        <v>112</v>
      </c>
      <c r="B17" s="119">
        <f>'GABARITO DIGITAÇÃO'!B121</f>
        <v>50</v>
      </c>
      <c r="C17" s="119">
        <f>'GABARITO DIGITAÇÃO'!C121</f>
        <v>100</v>
      </c>
      <c r="D17" s="119">
        <f>'GABARITO DIGITAÇÃO'!D121</f>
        <v>160</v>
      </c>
      <c r="E17" s="119">
        <f>'GABARITO DIGITAÇÃO'!E121</f>
        <v>200</v>
      </c>
      <c r="F17" s="119">
        <f>'GABARITO DIGITAÇÃO'!F121</f>
        <v>250</v>
      </c>
      <c r="G17" s="119">
        <f>'GABARITO DIGITAÇÃO'!G121</f>
        <v>320</v>
      </c>
      <c r="I17" s="93"/>
      <c r="J17" s="137"/>
      <c r="K17" s="93"/>
      <c r="L17" s="137"/>
      <c r="M17" s="93"/>
      <c r="N17" s="1"/>
      <c r="O17" s="1"/>
    </row>
    <row r="18" spans="1:15" ht="15">
      <c r="A18" s="255" t="s">
        <v>73</v>
      </c>
      <c r="B18" s="14">
        <f>'GABARITO DIGITAÇÃO'!B122</f>
        <v>50.5</v>
      </c>
      <c r="C18" s="14">
        <f>'GABARITO DIGITAÇÃO'!C122</f>
        <v>101.6</v>
      </c>
      <c r="D18" s="14">
        <f>'GABARITO DIGITAÇÃO'!D122</f>
        <v>162.5</v>
      </c>
      <c r="E18" s="14">
        <f>'GABARITO DIGITAÇÃO'!E122</f>
        <v>203.2</v>
      </c>
      <c r="F18" s="14">
        <f>'GABARITO DIGITAÇÃO'!F122</f>
        <v>254.5</v>
      </c>
      <c r="G18" s="14">
        <f>'GABARITO DIGITAÇÃO'!G122</f>
        <v>325.2</v>
      </c>
      <c r="I18" s="19"/>
      <c r="J18" s="137"/>
      <c r="K18" s="19"/>
      <c r="L18" s="137"/>
      <c r="M18" s="19"/>
      <c r="N18" s="12"/>
      <c r="O18" s="12"/>
    </row>
    <row r="19" spans="1:15" ht="15">
      <c r="A19" s="16" t="s">
        <v>74</v>
      </c>
      <c r="B19" s="14">
        <f>'GABARITO DIGITAÇÃO'!B123</f>
        <v>50.5</v>
      </c>
      <c r="C19" s="14">
        <f>'GABARITO DIGITAÇÃO'!C123</f>
        <v>101.4</v>
      </c>
      <c r="D19" s="14">
        <f>'GABARITO DIGITAÇÃO'!D123</f>
        <v>162.69999999999999</v>
      </c>
      <c r="E19" s="14">
        <f>'GABARITO DIGITAÇÃO'!E123</f>
        <v>203.1</v>
      </c>
      <c r="F19" s="14">
        <f>'GABARITO DIGITAÇÃO'!F123</f>
        <v>254.5</v>
      </c>
      <c r="G19" s="14">
        <f>'GABARITO DIGITAÇÃO'!G123</f>
        <v>325.10000000000002</v>
      </c>
      <c r="I19" s="19"/>
      <c r="J19" s="137"/>
      <c r="K19" s="19"/>
      <c r="L19" s="137"/>
      <c r="M19" s="19"/>
      <c r="N19" s="12"/>
      <c r="O19" s="12"/>
    </row>
    <row r="20" spans="1:15" ht="15">
      <c r="A20" s="256" t="s">
        <v>75</v>
      </c>
      <c r="B20" s="14">
        <v>50.631920647621158</v>
      </c>
      <c r="C20" s="14">
        <v>101.51783260107041</v>
      </c>
      <c r="D20" s="14">
        <v>162.84657858610151</v>
      </c>
      <c r="E20" s="14">
        <v>203.20853465199468</v>
      </c>
      <c r="F20" s="14">
        <v>254.39757254123688</v>
      </c>
      <c r="G20" s="14">
        <v>325.03191090226176</v>
      </c>
      <c r="I20" s="19"/>
      <c r="J20" s="137"/>
      <c r="K20" s="19"/>
      <c r="L20" s="137"/>
      <c r="M20" s="19"/>
      <c r="N20" s="12"/>
      <c r="O20" s="12"/>
    </row>
    <row r="21" spans="1:15" ht="15">
      <c r="A21" s="16" t="s">
        <v>76</v>
      </c>
      <c r="B21" s="14">
        <v>50.629840850830078</v>
      </c>
      <c r="C21" s="14">
        <v>101.59721863269807</v>
      </c>
      <c r="D21" s="14">
        <v>162.43611960411073</v>
      </c>
      <c r="E21" s="14">
        <v>203.29400097131727</v>
      </c>
      <c r="F21" s="14">
        <v>254.51354923248292</v>
      </c>
      <c r="G21" s="14">
        <v>325.29982436895369</v>
      </c>
      <c r="I21" s="19"/>
      <c r="J21" s="137"/>
      <c r="K21" s="19"/>
      <c r="L21" s="137"/>
      <c r="M21" s="19"/>
      <c r="N21" s="12"/>
      <c r="O21" s="12"/>
    </row>
    <row r="22" spans="1:15" ht="15.75">
      <c r="A22" s="13" t="s">
        <v>54</v>
      </c>
      <c r="B22" s="14">
        <f>AVERAGE(B18:B21)</f>
        <v>50.565440374612805</v>
      </c>
      <c r="C22" s="14">
        <f t="shared" ref="C22:G22" si="0">AVERAGE(C18:C21)</f>
        <v>101.52876280844211</v>
      </c>
      <c r="D22" s="14">
        <f t="shared" si="0"/>
        <v>162.62067454755305</v>
      </c>
      <c r="E22" s="14">
        <f t="shared" si="0"/>
        <v>203.20063390582797</v>
      </c>
      <c r="F22" s="14">
        <f t="shared" si="0"/>
        <v>254.47778044342994</v>
      </c>
      <c r="G22" s="14">
        <f t="shared" si="0"/>
        <v>325.15793381780384</v>
      </c>
      <c r="I22" s="93"/>
      <c r="J22" s="137"/>
      <c r="K22" s="93"/>
      <c r="L22" s="137"/>
      <c r="M22" s="93"/>
      <c r="N22" s="12"/>
      <c r="O22" s="12"/>
    </row>
    <row r="23" spans="1:15" ht="15">
      <c r="A23" s="13" t="s">
        <v>56</v>
      </c>
      <c r="B23" s="30">
        <f t="shared" ref="B23:G23" si="1">ABS(100*(B17-B22)/B17)</f>
        <v>1.1308807492256108</v>
      </c>
      <c r="C23" s="30">
        <f t="shared" si="1"/>
        <v>1.5287628084421101</v>
      </c>
      <c r="D23" s="30">
        <f t="shared" si="1"/>
        <v>1.6379215922206569</v>
      </c>
      <c r="E23" s="30">
        <f t="shared" si="1"/>
        <v>1.6003169529139853</v>
      </c>
      <c r="F23" s="30">
        <f t="shared" si="1"/>
        <v>1.7911121773719743</v>
      </c>
      <c r="G23" s="30">
        <f t="shared" si="1"/>
        <v>1.6118543180636991</v>
      </c>
      <c r="I23" s="19"/>
      <c r="J23" s="137"/>
      <c r="K23" s="19"/>
      <c r="L23" s="137"/>
      <c r="M23" s="19"/>
      <c r="N23" s="12"/>
      <c r="O23" s="12"/>
    </row>
    <row r="24" spans="1:15" ht="15.75">
      <c r="A24" s="33" t="s">
        <v>57</v>
      </c>
      <c r="B24" s="152" t="str">
        <f t="shared" ref="B24:G24" si="2">IF(B23&gt;10,"Verificar",IF(B23&lt;-10,"Verificar","Satisfatório"))</f>
        <v>Satisfatório</v>
      </c>
      <c r="C24" s="152" t="str">
        <f t="shared" si="2"/>
        <v>Satisfatório</v>
      </c>
      <c r="D24" s="152" t="str">
        <f t="shared" si="2"/>
        <v>Satisfatório</v>
      </c>
      <c r="E24" s="152" t="str">
        <f t="shared" si="2"/>
        <v>Satisfatório</v>
      </c>
      <c r="F24" s="152" t="str">
        <f t="shared" si="2"/>
        <v>Satisfatório</v>
      </c>
      <c r="G24" s="152" t="str">
        <f t="shared" si="2"/>
        <v>Satisfatório</v>
      </c>
      <c r="I24" s="20"/>
      <c r="J24" s="137"/>
      <c r="K24" s="20"/>
      <c r="L24" s="137"/>
      <c r="M24" s="20"/>
      <c r="N24" s="12"/>
      <c r="O24" s="12"/>
    </row>
    <row r="25" spans="1:15" ht="15.75">
      <c r="A25" s="13" t="s">
        <v>641</v>
      </c>
      <c r="B25" s="94">
        <f t="shared" ref="B25:G25" si="3">STDEV(B18:B21)/B22</f>
        <v>1.4944753844465294E-3</v>
      </c>
      <c r="C25" s="94">
        <f t="shared" si="3"/>
        <v>9.2501205930312113E-4</v>
      </c>
      <c r="D25" s="94">
        <f t="shared" si="3"/>
        <v>1.1556067472289972E-3</v>
      </c>
      <c r="E25" s="94">
        <f t="shared" si="3"/>
        <v>3.9068829394726468E-4</v>
      </c>
      <c r="F25" s="94">
        <f t="shared" si="3"/>
        <v>2.1161790287350067E-4</v>
      </c>
      <c r="G25" s="94">
        <f t="shared" si="3"/>
        <v>3.6014741335551069E-4</v>
      </c>
      <c r="I25" s="95"/>
      <c r="J25" s="137"/>
      <c r="K25" s="95"/>
      <c r="L25" s="137"/>
      <c r="M25" s="71"/>
      <c r="N25" s="12"/>
      <c r="O25" s="12"/>
    </row>
    <row r="26" spans="1:15" ht="15.75">
      <c r="A26" s="33" t="s">
        <v>57</v>
      </c>
      <c r="B26" s="152" t="str">
        <f t="shared" ref="B26:G26" si="4">IF(B25&gt;0.1000000000001,"Verificar",IF(B25&lt;-0.10000000001,"Verificar","Satisfatório"))</f>
        <v>Satisfatório</v>
      </c>
      <c r="C26" s="152" t="str">
        <f t="shared" si="4"/>
        <v>Satisfatório</v>
      </c>
      <c r="D26" s="152" t="str">
        <f t="shared" si="4"/>
        <v>Satisfatório</v>
      </c>
      <c r="E26" s="152" t="str">
        <f t="shared" si="4"/>
        <v>Satisfatório</v>
      </c>
      <c r="F26" s="152" t="str">
        <f t="shared" si="4"/>
        <v>Satisfatório</v>
      </c>
      <c r="G26" s="152" t="str">
        <f t="shared" si="4"/>
        <v>Satisfatório</v>
      </c>
      <c r="I26" s="20"/>
      <c r="J26" s="137"/>
      <c r="K26" s="20"/>
      <c r="L26" s="137"/>
      <c r="M26" s="20"/>
      <c r="N26" s="12"/>
      <c r="O26" s="12"/>
    </row>
    <row r="27" spans="1:15" hidden="1">
      <c r="A27" s="39" t="s">
        <v>72</v>
      </c>
      <c r="B27" s="39"/>
      <c r="C27" s="39"/>
      <c r="D27" s="39"/>
      <c r="E27" s="39"/>
      <c r="F27" s="39"/>
      <c r="G27" s="39"/>
      <c r="H27" s="39"/>
      <c r="I27" s="39"/>
      <c r="J27" s="39"/>
      <c r="K27" s="39"/>
      <c r="L27" s="39"/>
      <c r="M27" s="39"/>
      <c r="N27" s="39"/>
      <c r="O27" s="39"/>
    </row>
    <row r="28" spans="1:15" hidden="1">
      <c r="A28" s="1053" t="s">
        <v>135</v>
      </c>
      <c r="B28" s="1053"/>
      <c r="C28" s="1053"/>
      <c r="D28" s="1053"/>
      <c r="E28" s="1053"/>
      <c r="F28" s="1053"/>
      <c r="G28" s="1053"/>
      <c r="H28" s="1053"/>
      <c r="I28" s="1053"/>
      <c r="J28" s="1053"/>
      <c r="K28" s="1053"/>
      <c r="L28" s="1053"/>
      <c r="M28" s="1053"/>
      <c r="N28" s="1053"/>
      <c r="O28" s="1053"/>
    </row>
    <row r="29" spans="1:15" ht="15" hidden="1">
      <c r="A29" s="6" t="s">
        <v>136</v>
      </c>
      <c r="B29" s="6"/>
      <c r="C29" s="6"/>
      <c r="D29" s="6"/>
      <c r="E29" s="6"/>
      <c r="F29" s="6"/>
      <c r="G29" s="6"/>
      <c r="H29" s="6"/>
      <c r="I29" s="6"/>
      <c r="J29" s="6"/>
      <c r="K29" s="6"/>
      <c r="L29" s="6"/>
      <c r="M29" s="6"/>
      <c r="N29" s="6"/>
      <c r="O29" s="6"/>
    </row>
    <row r="30" spans="1:15" ht="15">
      <c r="A30" s="301" t="s">
        <v>211</v>
      </c>
      <c r="B30" s="301"/>
      <c r="C30" s="301"/>
      <c r="D30" s="301"/>
      <c r="E30" s="19"/>
      <c r="F30" s="19"/>
      <c r="G30" s="19"/>
      <c r="H30" s="10"/>
      <c r="I30" s="10"/>
      <c r="J30" s="6"/>
      <c r="K30" s="6"/>
      <c r="L30" s="6"/>
      <c r="M30" s="6"/>
      <c r="N30" s="6"/>
      <c r="O30" s="6"/>
    </row>
    <row r="31" spans="1:15" ht="15">
      <c r="A31" s="303" t="s">
        <v>430</v>
      </c>
      <c r="B31" s="302"/>
      <c r="C31" s="302"/>
      <c r="D31" s="302"/>
      <c r="E31" s="297"/>
      <c r="F31" s="297"/>
      <c r="G31" s="297"/>
      <c r="H31" s="10"/>
      <c r="I31" s="10"/>
      <c r="J31" s="6"/>
      <c r="K31" s="6"/>
      <c r="L31" s="6"/>
      <c r="M31" s="6"/>
      <c r="N31" s="6"/>
      <c r="O31" s="6"/>
    </row>
    <row r="32" spans="1:15" ht="15">
      <c r="A32" s="157"/>
      <c r="B32" s="157"/>
      <c r="C32" s="157"/>
      <c r="D32" s="157"/>
      <c r="E32" s="19"/>
      <c r="F32" s="19"/>
      <c r="G32" s="19"/>
      <c r="H32" s="10"/>
      <c r="I32" s="10"/>
      <c r="J32" s="6"/>
      <c r="K32" s="6"/>
      <c r="L32" s="6"/>
      <c r="M32" s="6"/>
      <c r="N32" s="6"/>
      <c r="O32" s="6"/>
    </row>
    <row r="33" spans="1:15" ht="15.75">
      <c r="A33" s="25" t="s">
        <v>643</v>
      </c>
      <c r="B33" s="20"/>
      <c r="C33" s="20"/>
      <c r="D33" s="20"/>
      <c r="E33" s="20"/>
      <c r="F33" s="20"/>
      <c r="G33" s="20"/>
      <c r="H33" s="20"/>
      <c r="I33" s="20"/>
      <c r="J33" s="138"/>
      <c r="K33" s="138"/>
      <c r="L33" s="139"/>
      <c r="M33" s="140"/>
      <c r="N33" s="12"/>
      <c r="O33" s="12"/>
    </row>
    <row r="34" spans="1:15" ht="15">
      <c r="A34" s="1056" t="str">
        <f>IF('GABARITO DIGITAÇÃO'!B128="Não disponível","Obs.: Teste não avaliado para este equipamento.","OCULTAR ESTA LINHA")</f>
        <v>Obs.: Teste não avaliado para este equipamento.</v>
      </c>
      <c r="B34" s="1056"/>
      <c r="C34" s="1056"/>
      <c r="D34" s="1056"/>
      <c r="E34" s="1056"/>
      <c r="F34" s="1056"/>
      <c r="G34" s="1056"/>
      <c r="H34" s="12"/>
      <c r="I34" s="12"/>
      <c r="J34" s="12"/>
      <c r="K34" s="12"/>
      <c r="L34" s="12"/>
      <c r="M34" s="12"/>
      <c r="N34" s="12"/>
      <c r="O34" s="12"/>
    </row>
    <row r="35" spans="1:15" ht="15.75" hidden="1">
      <c r="A35" s="7" t="s">
        <v>475</v>
      </c>
      <c r="B35" s="142"/>
      <c r="C35" s="1"/>
      <c r="D35" s="12"/>
      <c r="E35" s="12"/>
      <c r="F35" s="12"/>
      <c r="G35" s="12"/>
      <c r="H35" s="12"/>
      <c r="I35" s="12"/>
      <c r="J35" s="12"/>
      <c r="K35" s="12"/>
      <c r="L35" s="12"/>
      <c r="M35" s="12"/>
      <c r="N35" s="12"/>
      <c r="O35" s="12"/>
    </row>
    <row r="36" spans="1:15" ht="15.75" hidden="1">
      <c r="A36" s="96" t="s">
        <v>77</v>
      </c>
      <c r="B36" s="96" t="s">
        <v>78</v>
      </c>
      <c r="C36" s="96" t="s">
        <v>2</v>
      </c>
      <c r="E36" s="12"/>
      <c r="F36" s="12"/>
      <c r="G36" s="12"/>
      <c r="H36" s="12"/>
      <c r="I36" s="12"/>
      <c r="J36" s="12"/>
      <c r="K36" s="12"/>
      <c r="L36" s="141"/>
      <c r="M36" s="141"/>
      <c r="N36" s="6"/>
      <c r="O36" s="6"/>
    </row>
    <row r="37" spans="1:15" ht="15" hidden="1">
      <c r="A37" s="16" t="s">
        <v>65</v>
      </c>
      <c r="B37" s="14">
        <f>'GABARITO DIGITAÇÃO'!B132</f>
        <v>0</v>
      </c>
      <c r="C37" s="14">
        <f>'GABARITO DIGITAÇÃO'!C132</f>
        <v>0</v>
      </c>
      <c r="E37" s="42"/>
      <c r="F37" s="42"/>
      <c r="G37" s="42"/>
      <c r="H37" s="12"/>
      <c r="I37" s="12"/>
      <c r="J37" s="12"/>
      <c r="K37" s="12"/>
      <c r="L37" s="141"/>
      <c r="M37" s="141"/>
      <c r="N37" s="6"/>
      <c r="O37" s="6"/>
    </row>
    <row r="38" spans="1:15" ht="15" hidden="1">
      <c r="A38" s="16" t="s">
        <v>66</v>
      </c>
      <c r="B38" s="14">
        <f>'GABARITO DIGITAÇÃO'!B133</f>
        <v>0</v>
      </c>
      <c r="C38" s="14">
        <f>'GABARITO DIGITAÇÃO'!C133</f>
        <v>0</v>
      </c>
      <c r="E38" s="12"/>
      <c r="F38" s="12"/>
      <c r="G38" s="12"/>
      <c r="H38" s="12"/>
      <c r="I38" s="12"/>
      <c r="J38" s="12"/>
      <c r="K38" s="12"/>
      <c r="L38" s="141"/>
      <c r="M38" s="141"/>
      <c r="N38" s="6"/>
      <c r="O38" s="6"/>
    </row>
    <row r="39" spans="1:15" ht="15" hidden="1">
      <c r="A39" s="16" t="s">
        <v>67</v>
      </c>
      <c r="B39" s="14">
        <f>'GABARITO DIGITAÇÃO'!B134</f>
        <v>0</v>
      </c>
      <c r="C39" s="14">
        <f>'GABARITO DIGITAÇÃO'!C134</f>
        <v>0</v>
      </c>
      <c r="D39" s="257"/>
      <c r="E39" s="12"/>
      <c r="F39" s="12"/>
      <c r="G39" s="12"/>
      <c r="H39" s="12"/>
      <c r="I39" s="12"/>
      <c r="J39" s="12"/>
      <c r="K39" s="12"/>
      <c r="L39" s="141"/>
      <c r="M39" s="141"/>
      <c r="N39" s="6"/>
      <c r="O39" s="6"/>
    </row>
    <row r="40" spans="1:15" ht="15" hidden="1">
      <c r="A40" s="16" t="s">
        <v>68</v>
      </c>
      <c r="B40" s="14">
        <f>'GABARITO DIGITAÇÃO'!B135</f>
        <v>0</v>
      </c>
      <c r="C40" s="14">
        <f>'GABARITO DIGITAÇÃO'!C135</f>
        <v>0</v>
      </c>
      <c r="E40" s="12"/>
      <c r="F40" s="12"/>
      <c r="G40" s="12"/>
      <c r="H40" s="12"/>
      <c r="I40" s="12"/>
      <c r="J40" s="12"/>
      <c r="K40" s="12"/>
      <c r="L40" s="141"/>
      <c r="M40" s="141"/>
      <c r="N40" s="6"/>
      <c r="O40" s="6"/>
    </row>
    <row r="41" spans="1:15" ht="15.75" hidden="1">
      <c r="A41" s="33" t="s">
        <v>63</v>
      </c>
      <c r="B41" s="30" t="e">
        <f>100*((MAX(B37:B40)-MIN(B37:B40))/((MAX(B37:B40)+MIN(B37:B40))/2))</f>
        <v>#DIV/0!</v>
      </c>
      <c r="C41" s="30" t="e">
        <f>100*((MAX(C37:C40)-MIN(C37:C40))/((MAX(C37:C40)+MIN(C37:C40))/2))</f>
        <v>#DIV/0!</v>
      </c>
      <c r="E41" s="12"/>
      <c r="F41" s="12"/>
      <c r="G41" s="12"/>
      <c r="H41" s="12"/>
      <c r="I41" s="12"/>
      <c r="J41" s="12"/>
      <c r="K41" s="12"/>
      <c r="L41" s="141"/>
      <c r="M41" s="141"/>
      <c r="N41" s="6"/>
      <c r="O41" s="6"/>
    </row>
    <row r="42" spans="1:15" ht="15.75" hidden="1">
      <c r="A42" s="477" t="s">
        <v>57</v>
      </c>
      <c r="B42" s="477" t="e">
        <f>IF(B41&gt;10,"Verificar",IF(B41&lt;-10,"Verificar","Satisfatório"))</f>
        <v>#DIV/0!</v>
      </c>
      <c r="C42" s="903"/>
      <c r="D42" s="137"/>
      <c r="E42" s="12"/>
      <c r="F42" s="12"/>
      <c r="G42" s="12"/>
      <c r="H42" s="12"/>
      <c r="I42" s="12"/>
      <c r="J42" s="12"/>
      <c r="K42" s="12"/>
      <c r="L42" s="141"/>
      <c r="M42" s="141"/>
      <c r="N42" s="6"/>
      <c r="O42" s="6"/>
    </row>
    <row r="43" spans="1:15" hidden="1">
      <c r="A43" s="1052" t="s">
        <v>212</v>
      </c>
      <c r="B43" s="1052"/>
      <c r="C43" s="1052"/>
      <c r="D43" s="1052"/>
      <c r="E43" s="39"/>
      <c r="F43" s="39"/>
      <c r="G43" s="39"/>
      <c r="H43" s="39"/>
      <c r="I43" s="39"/>
      <c r="J43" s="39"/>
      <c r="K43" s="39"/>
      <c r="L43" s="39"/>
      <c r="M43" s="39"/>
      <c r="N43" s="39"/>
      <c r="O43" s="39"/>
    </row>
    <row r="44" spans="1:15">
      <c r="A44" s="97"/>
      <c r="B44" s="97"/>
      <c r="C44" s="97"/>
      <c r="D44" s="97"/>
      <c r="E44" s="97"/>
      <c r="F44" s="97"/>
      <c r="G44" s="97"/>
      <c r="H44" s="97"/>
      <c r="I44" s="97"/>
      <c r="J44" s="97"/>
      <c r="K44" s="97"/>
      <c r="L44" s="97"/>
      <c r="M44" s="97"/>
      <c r="N44" s="97"/>
      <c r="O44" s="97"/>
    </row>
    <row r="45" spans="1:15" ht="15.75">
      <c r="A45" s="25" t="s">
        <v>644</v>
      </c>
      <c r="B45" s="39"/>
      <c r="C45" s="39"/>
      <c r="D45" s="39"/>
      <c r="E45" s="39"/>
      <c r="F45" s="39"/>
      <c r="G45" s="39"/>
      <c r="H45" s="39"/>
      <c r="I45" s="39"/>
      <c r="J45" s="39"/>
      <c r="K45" s="39"/>
      <c r="L45" s="39"/>
      <c r="M45" s="39"/>
      <c r="N45" s="39"/>
      <c r="O45" s="39"/>
    </row>
    <row r="46" spans="1:15" ht="11.25" customHeight="1" thickBot="1">
      <c r="A46" s="39"/>
      <c r="B46" s="39"/>
      <c r="C46" s="39"/>
      <c r="D46" s="39"/>
      <c r="E46" s="39"/>
      <c r="F46" s="39"/>
      <c r="G46" s="39"/>
      <c r="H46" s="39"/>
      <c r="I46" s="377" t="s">
        <v>376</v>
      </c>
      <c r="J46" s="39"/>
      <c r="K46" s="39" t="s">
        <v>377</v>
      </c>
      <c r="L46" s="39"/>
      <c r="M46" s="39"/>
      <c r="N46" s="39"/>
      <c r="O46" s="39"/>
    </row>
    <row r="47" spans="1:15" ht="16.5" thickBot="1">
      <c r="A47" s="190">
        <f>$E$6</f>
        <v>80</v>
      </c>
      <c r="B47" s="44" t="s">
        <v>1</v>
      </c>
      <c r="C47" s="190">
        <f>E9</f>
        <v>40</v>
      </c>
      <c r="D47" s="44" t="s">
        <v>2</v>
      </c>
      <c r="E47" s="865" t="s">
        <v>79</v>
      </c>
      <c r="F47" s="93"/>
      <c r="G47" s="6"/>
      <c r="I47" s="409">
        <f>'GABARITO DIGITAÇÃO'!B138</f>
        <v>3.2</v>
      </c>
      <c r="J47" s="39"/>
      <c r="K47" s="39">
        <f>(LN(2))/I47</f>
        <v>0.21660849392498288</v>
      </c>
      <c r="L47" s="39"/>
      <c r="M47" s="39"/>
      <c r="N47" s="39"/>
      <c r="O47" s="39"/>
    </row>
    <row r="48" spans="1:15" ht="18.75">
      <c r="A48" s="16" t="s">
        <v>590</v>
      </c>
      <c r="B48" s="16" t="s">
        <v>65</v>
      </c>
      <c r="C48" s="16" t="s">
        <v>66</v>
      </c>
      <c r="D48" s="16" t="s">
        <v>67</v>
      </c>
      <c r="E48" s="16" t="s">
        <v>608</v>
      </c>
      <c r="F48" s="16" t="s">
        <v>491</v>
      </c>
      <c r="H48" s="39"/>
      <c r="I48" s="16" t="s">
        <v>81</v>
      </c>
      <c r="J48" s="16" t="s">
        <v>82</v>
      </c>
      <c r="K48" s="131"/>
      <c r="L48" s="39"/>
      <c r="M48" s="39"/>
      <c r="N48" s="39"/>
      <c r="O48" s="39"/>
    </row>
    <row r="49" spans="1:15" ht="15">
      <c r="A49" s="14">
        <v>0</v>
      </c>
      <c r="B49" s="30">
        <f>IF('GABARITO DIGITAÇÃO'!B141="",B6,'GABARITO DIGITAÇÃO'!B141)</f>
        <v>323.89999999999998</v>
      </c>
      <c r="C49" s="30">
        <f>IF('GABARITO DIGITAÇÃO'!C141="",B7,'GABARITO DIGITAÇÃO'!C141)</f>
        <v>323.8</v>
      </c>
      <c r="D49" s="30">
        <f>IF('GABARITO DIGITAÇÃO'!D141="",B8,'GABARITO DIGITAÇÃO'!D141)</f>
        <v>323.8</v>
      </c>
      <c r="E49" s="30">
        <f>AVERAGE(B49:D49)</f>
        <v>323.83333333333331</v>
      </c>
      <c r="F49" s="30">
        <f>E49/2</f>
        <v>161.91666666666666</v>
      </c>
      <c r="I49" s="16">
        <f>B50</f>
        <v>209.97993789057597</v>
      </c>
      <c r="J49" s="16">
        <f>A50</f>
        <v>2</v>
      </c>
      <c r="K49" s="16" t="s">
        <v>139</v>
      </c>
      <c r="L49" s="153">
        <f>I49/E49</f>
        <v>0.64841977732550482</v>
      </c>
      <c r="M49" s="39"/>
      <c r="N49" s="39"/>
      <c r="O49" s="39"/>
    </row>
    <row r="50" spans="1:15" ht="18" thickBot="1">
      <c r="A50" s="14">
        <f>IF(I47&gt;3.5,3,2)</f>
        <v>2</v>
      </c>
      <c r="B50" s="30">
        <f>IF('GABARITO DIGITAÇÃO'!B142="",$E$49*(EXP(-$K$47*A50)),'GABARITO DIGITAÇÃO'!B142)</f>
        <v>209.97993789057597</v>
      </c>
      <c r="C50" s="861"/>
      <c r="D50" s="862"/>
      <c r="G50" s="10"/>
      <c r="I50" s="480" t="s">
        <v>83</v>
      </c>
      <c r="J50" s="16" t="s">
        <v>84</v>
      </c>
      <c r="K50" s="16" t="s">
        <v>140</v>
      </c>
      <c r="L50" s="153">
        <f>I51/E49</f>
        <v>0.46854190852757499</v>
      </c>
      <c r="M50" s="39"/>
      <c r="N50" s="39"/>
      <c r="O50" s="39"/>
    </row>
    <row r="51" spans="1:15" ht="15.75" thickBot="1">
      <c r="A51" s="14">
        <f>IF(I47&gt;3.5,5,3.5)</f>
        <v>3.5</v>
      </c>
      <c r="B51" s="30">
        <f>IF('GABARITO DIGITAÇÃO'!B143="",$E$49*(EXP(-$K$47*A51)),'GABARITO DIGITAÇÃO'!B143)</f>
        <v>151.72948804484636</v>
      </c>
      <c r="C51" s="863"/>
      <c r="D51" s="790" t="s">
        <v>80</v>
      </c>
      <c r="E51" s="877">
        <f>(J51*LN(2*L49)-J49*LN(2*L50))/LN(L51)</f>
        <v>3.2000000000000011</v>
      </c>
      <c r="F51" s="864" t="s">
        <v>120</v>
      </c>
      <c r="I51" s="480">
        <f>B51</f>
        <v>151.72948804484636</v>
      </c>
      <c r="J51" s="16">
        <f>A51</f>
        <v>3.5</v>
      </c>
      <c r="K51" s="16" t="s">
        <v>85</v>
      </c>
      <c r="L51" s="153">
        <f>I49/I51</f>
        <v>1.3839098819638318</v>
      </c>
      <c r="M51" s="39"/>
      <c r="N51" s="39"/>
      <c r="O51" s="39"/>
    </row>
    <row r="52" spans="1:15" ht="15.75">
      <c r="A52" s="383"/>
      <c r="B52" s="50"/>
      <c r="C52" s="50"/>
      <c r="H52" s="154"/>
      <c r="I52" s="155"/>
      <c r="K52" s="90"/>
      <c r="L52" s="12"/>
      <c r="M52" s="39"/>
      <c r="N52" s="39"/>
      <c r="O52" s="39"/>
    </row>
    <row r="53" spans="1:15" ht="15">
      <c r="A53" s="1048" t="s">
        <v>609</v>
      </c>
      <c r="B53" s="1048"/>
      <c r="C53" s="84" t="s">
        <v>86</v>
      </c>
      <c r="D53" s="84" t="s">
        <v>88</v>
      </c>
      <c r="H53" s="100"/>
      <c r="I53" s="155"/>
      <c r="K53" s="6"/>
      <c r="L53" s="6"/>
      <c r="M53" s="39"/>
      <c r="N53" s="39"/>
      <c r="O53" s="39"/>
    </row>
    <row r="54" spans="1:15" ht="15.75">
      <c r="A54" s="1048"/>
      <c r="B54" s="1048"/>
      <c r="C54" s="84" t="s">
        <v>87</v>
      </c>
      <c r="D54" s="84" t="s">
        <v>206</v>
      </c>
      <c r="E54"/>
      <c r="F54"/>
      <c r="G54" s="3"/>
      <c r="K54" s="39"/>
      <c r="L54" s="39"/>
      <c r="M54" s="39"/>
      <c r="N54" s="39"/>
      <c r="O54" s="39"/>
    </row>
    <row r="55" spans="1:15" ht="15.75">
      <c r="D55"/>
      <c r="E55"/>
      <c r="F55"/>
      <c r="G55" s="3"/>
      <c r="K55" s="39"/>
      <c r="L55" s="39"/>
      <c r="M55" s="39"/>
      <c r="N55" s="39"/>
      <c r="O55" s="39"/>
    </row>
    <row r="56" spans="1:15" ht="15.75">
      <c r="C56" s="789"/>
      <c r="D56" s="3"/>
      <c r="E56" s="6"/>
      <c r="F56" s="3"/>
      <c r="G56" s="3"/>
      <c r="K56" s="39"/>
      <c r="L56" s="39"/>
      <c r="M56" s="39"/>
      <c r="N56" s="39"/>
      <c r="O56" s="39"/>
    </row>
    <row r="57" spans="1:15" ht="15.75">
      <c r="D57" s="3"/>
      <c r="E57" s="6"/>
      <c r="F57" s="3"/>
      <c r="G57" s="3"/>
      <c r="J57" s="481"/>
      <c r="K57" s="39"/>
      <c r="L57" s="39"/>
      <c r="M57" s="39"/>
      <c r="N57" s="39"/>
      <c r="O57" s="39"/>
    </row>
    <row r="58" spans="1:15" ht="15.75">
      <c r="C58" s="136" t="s">
        <v>207</v>
      </c>
      <c r="D58" s="3"/>
      <c r="E58" s="6"/>
      <c r="F58" s="3"/>
      <c r="G58" s="3"/>
      <c r="H58" s="39"/>
      <c r="I58" s="39"/>
      <c r="J58" s="39"/>
      <c r="K58" s="39"/>
      <c r="L58" s="39"/>
      <c r="M58" s="39"/>
      <c r="N58" s="39"/>
      <c r="O58" s="39"/>
    </row>
    <row r="59" spans="1:15" ht="15.75">
      <c r="A59" s="6"/>
      <c r="B59" s="6"/>
      <c r="C59" s="6"/>
      <c r="D59" s="6"/>
      <c r="E59" s="6"/>
      <c r="F59" s="6"/>
      <c r="G59" s="3"/>
      <c r="H59" s="39"/>
      <c r="I59" s="39"/>
      <c r="J59" s="39"/>
      <c r="K59" s="39"/>
      <c r="L59" s="39"/>
      <c r="M59" s="39"/>
      <c r="N59" s="39"/>
      <c r="O59" s="39"/>
    </row>
  </sheetData>
  <mergeCells count="12">
    <mergeCell ref="A53:B54"/>
    <mergeCell ref="D5:E5"/>
    <mergeCell ref="A1:G1"/>
    <mergeCell ref="A43:D43"/>
    <mergeCell ref="A28:O28"/>
    <mergeCell ref="B12:C12"/>
    <mergeCell ref="A34:G34"/>
    <mergeCell ref="F5:G5"/>
    <mergeCell ref="F6:G6"/>
    <mergeCell ref="F7:G7"/>
    <mergeCell ref="F8:G8"/>
    <mergeCell ref="F9:G9"/>
  </mergeCells>
  <phoneticPr fontId="21" type="noConversion"/>
  <conditionalFormatting sqref="B20:G21">
    <cfRule type="cellIs" dxfId="0" priority="1" operator="equal">
      <formula>""</formula>
    </cfRule>
  </conditionalFormatting>
  <printOptions horizontalCentered="1"/>
  <pageMargins left="0.78740157480314965" right="0.78740157480314965" top="1.7716535433070868" bottom="0.98425196850393704" header="0.51181102362204722" footer="0.51181102362204722"/>
  <pageSetup paperSize="9" scale="85" orientation="portrait" r:id="rId1"/>
  <headerFooter alignWithMargins="0">
    <oddFooter>&amp;L&amp;8
&amp;F &amp;C5</oddFooter>
  </headerFooter>
  <colBreaks count="1" manualBreakCount="1">
    <brk id="11" max="57" man="1"/>
  </colBreaks>
  <drawing r:id="rId2"/>
  <legacyDrawing r:id="rId3"/>
  <controls>
    <mc:AlternateContent xmlns:mc="http://schemas.openxmlformats.org/markup-compatibility/2006">
      <mc:Choice Requires="x14">
        <control shapeId="19470" r:id="rId4" name="SemRefAnterior">
          <controlPr defaultSize="0" print="0" autoLine="0" autoPict="0" r:id="rId5">
            <anchor moveWithCells="1">
              <from>
                <xdr:col>6</xdr:col>
                <xdr:colOff>771525</xdr:colOff>
                <xdr:row>3</xdr:row>
                <xdr:rowOff>323850</xdr:rowOff>
              </from>
              <to>
                <xdr:col>9</xdr:col>
                <xdr:colOff>142875</xdr:colOff>
                <xdr:row>7</xdr:row>
                <xdr:rowOff>28575</xdr:rowOff>
              </to>
            </anchor>
          </controlPr>
        </control>
      </mc:Choice>
      <mc:Fallback>
        <control shapeId="19470" r:id="rId4" name="SemRefAnterior"/>
      </mc:Fallback>
    </mc:AlternateContent>
    <mc:AlternateContent xmlns:mc="http://schemas.openxmlformats.org/markup-compatibility/2006">
      <mc:Choice Requires="x14">
        <control shapeId="19469" r:id="rId6" name="ComTempoNominal">
          <controlPr defaultSize="0" print="0" autoLine="0" autoPict="0" r:id="rId7">
            <anchor moveWithCells="1">
              <from>
                <xdr:col>7</xdr:col>
                <xdr:colOff>495300</xdr:colOff>
                <xdr:row>18</xdr:row>
                <xdr:rowOff>76200</xdr:rowOff>
              </from>
              <to>
                <xdr:col>9</xdr:col>
                <xdr:colOff>95250</xdr:colOff>
                <xdr:row>22</xdr:row>
                <xdr:rowOff>9525</xdr:rowOff>
              </to>
            </anchor>
          </controlPr>
        </control>
      </mc:Choice>
      <mc:Fallback>
        <control shapeId="19469" r:id="rId6" name="ComTempoNominal"/>
      </mc:Fallback>
    </mc:AlternateContent>
    <mc:AlternateContent xmlns:mc="http://schemas.openxmlformats.org/markup-compatibility/2006">
      <mc:Choice Requires="x14">
        <control shapeId="19467" r:id="rId8" name="SemTempoNominal">
          <controlPr defaultSize="0" print="0" autoLine="0" autoPict="0" r:id="rId9">
            <anchor moveWithCells="1">
              <from>
                <xdr:col>6</xdr:col>
                <xdr:colOff>619125</xdr:colOff>
                <xdr:row>18</xdr:row>
                <xdr:rowOff>76200</xdr:rowOff>
              </from>
              <to>
                <xdr:col>7</xdr:col>
                <xdr:colOff>485775</xdr:colOff>
                <xdr:row>22</xdr:row>
                <xdr:rowOff>19050</xdr:rowOff>
              </to>
            </anchor>
          </controlPr>
        </control>
      </mc:Choice>
      <mc:Fallback>
        <control shapeId="19467" r:id="rId8" name="SemTempoNominal"/>
      </mc:Fallback>
    </mc:AlternateContent>
    <mc:AlternateContent xmlns:mc="http://schemas.openxmlformats.org/markup-compatibility/2006">
      <mc:Choice Requires="x14">
        <control shapeId="19466" r:id="rId10" name="Gerador_Tempos">
          <controlPr defaultSize="0" print="0" autoLine="0" autoPict="0" r:id="rId11">
            <anchor moveWithCells="1">
              <from>
                <xdr:col>7</xdr:col>
                <xdr:colOff>85725</xdr:colOff>
                <xdr:row>14</xdr:row>
                <xdr:rowOff>57150</xdr:rowOff>
              </from>
              <to>
                <xdr:col>8</xdr:col>
                <xdr:colOff>266700</xdr:colOff>
                <xdr:row>17</xdr:row>
                <xdr:rowOff>190500</xdr:rowOff>
              </to>
            </anchor>
          </controlPr>
        </control>
      </mc:Choice>
      <mc:Fallback>
        <control shapeId="19466" r:id="rId10" name="Gerador_Tempo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dimension ref="A1:O63"/>
  <sheetViews>
    <sheetView view="pageBreakPreview" topLeftCell="A10" zoomScale="90" zoomScaleNormal="75" zoomScaleSheetLayoutView="90" workbookViewId="0">
      <selection activeCell="G42" sqref="G42"/>
    </sheetView>
  </sheetViews>
  <sheetFormatPr defaultRowHeight="15"/>
  <cols>
    <col min="1" max="1" width="12.5703125" style="6" customWidth="1"/>
    <col min="2" max="2" width="14.7109375" style="6" customWidth="1"/>
    <col min="3" max="3" width="12.42578125" style="6" customWidth="1"/>
    <col min="4" max="4" width="15.42578125" style="6" customWidth="1"/>
    <col min="5" max="5" width="12.85546875" style="6" bestFit="1" customWidth="1"/>
    <col min="6" max="6" width="14" style="6" customWidth="1"/>
    <col min="7" max="7" width="14.5703125" style="6" customWidth="1"/>
    <col min="8" max="8" width="9.7109375" style="6" customWidth="1"/>
    <col min="9" max="9" width="4.28515625" style="6" customWidth="1"/>
    <col min="10" max="10" width="30.42578125" style="6" customWidth="1"/>
    <col min="11" max="16384" width="9.140625" style="6"/>
  </cols>
  <sheetData>
    <row r="1" spans="1:14" ht="15.75" customHeight="1">
      <c r="A1" s="1089" t="s">
        <v>134</v>
      </c>
      <c r="B1" s="1089"/>
      <c r="C1" s="1089"/>
      <c r="D1" s="1089"/>
      <c r="E1" s="1089"/>
      <c r="F1" s="1089"/>
      <c r="G1" s="1089"/>
      <c r="H1" s="177"/>
      <c r="I1" s="177"/>
      <c r="J1" s="177"/>
    </row>
    <row r="2" spans="1:14" ht="15.75" customHeight="1">
      <c r="A2" s="105"/>
      <c r="B2" s="11"/>
      <c r="C2" s="11"/>
      <c r="D2" s="11"/>
      <c r="E2" s="11"/>
      <c r="F2" s="10"/>
      <c r="G2" s="106"/>
      <c r="H2" s="107"/>
      <c r="I2" s="107"/>
    </row>
    <row r="3" spans="1:14" ht="15.75" customHeight="1">
      <c r="A3" s="25" t="s">
        <v>645</v>
      </c>
      <c r="B3" s="25"/>
      <c r="C3" s="25"/>
      <c r="D3" s="25"/>
      <c r="E3" s="25"/>
      <c r="F3" s="25"/>
      <c r="G3" s="25"/>
      <c r="H3" s="25"/>
      <c r="I3" s="25"/>
    </row>
    <row r="4" spans="1:14" ht="15.75" customHeight="1"/>
    <row r="5" spans="1:14" ht="18.75" customHeight="1">
      <c r="A5" s="380" t="s">
        <v>291</v>
      </c>
      <c r="B5" s="380" t="s">
        <v>350</v>
      </c>
      <c r="C5" s="33" t="s">
        <v>43</v>
      </c>
      <c r="D5" s="33" t="s">
        <v>91</v>
      </c>
      <c r="E5" s="33" t="s">
        <v>45</v>
      </c>
      <c r="F5" s="1090" t="s">
        <v>563</v>
      </c>
      <c r="G5" s="1088"/>
      <c r="I5" s="800"/>
      <c r="J5" s="838"/>
    </row>
    <row r="6" spans="1:14" ht="18.75" customHeight="1">
      <c r="A6" s="1091" t="s">
        <v>38</v>
      </c>
      <c r="B6" s="1091"/>
      <c r="C6" s="407">
        <f>'GABARITO DIGITAÇÃO'!C149</f>
        <v>0</v>
      </c>
      <c r="D6" s="408">
        <f>ABS(C6/$F$6)</f>
        <v>0</v>
      </c>
      <c r="E6" s="233" t="str">
        <f>IF(D6&lt;0.02000000000001,"Sim","Não")</f>
        <v>Sim</v>
      </c>
      <c r="F6" s="166">
        <f>'GABARITO DIGITAÇÃO'!C147</f>
        <v>100</v>
      </c>
      <c r="G6" s="11" t="s">
        <v>44</v>
      </c>
      <c r="I6" s="384">
        <f>ABS(D6)</f>
        <v>0</v>
      </c>
      <c r="J6" s="878">
        <f>MAX(I6:I9)</f>
        <v>0</v>
      </c>
    </row>
    <row r="7" spans="1:14" ht="18.75" customHeight="1">
      <c r="A7" s="1091" t="s">
        <v>39</v>
      </c>
      <c r="B7" s="1091"/>
      <c r="C7" s="407">
        <f>'GABARITO DIGITAÇÃO'!C150</f>
        <v>0</v>
      </c>
      <c r="D7" s="408">
        <f>ABS(C7/$F$6)</f>
        <v>0</v>
      </c>
      <c r="E7" s="233" t="str">
        <f>IF(D7&lt;0.02000000000001,"Sim","Não")</f>
        <v>Sim</v>
      </c>
      <c r="I7" s="384">
        <f>ABS(D7)</f>
        <v>0</v>
      </c>
      <c r="J7" s="853"/>
    </row>
    <row r="8" spans="1:14" ht="18.75" customHeight="1">
      <c r="A8" s="1091" t="s">
        <v>40</v>
      </c>
      <c r="B8" s="1091"/>
      <c r="C8" s="407">
        <f>'GABARITO DIGITAÇÃO'!C151</f>
        <v>0</v>
      </c>
      <c r="D8" s="408">
        <f>ABS(C8/$F$6)</f>
        <v>0</v>
      </c>
      <c r="E8" s="233" t="str">
        <f>IF(D8&lt;0.02000000000001,"Sim","Não")</f>
        <v>Sim</v>
      </c>
      <c r="I8" s="384">
        <f>ABS(D8)</f>
        <v>0</v>
      </c>
      <c r="J8" s="853"/>
    </row>
    <row r="9" spans="1:14" ht="18.75" customHeight="1">
      <c r="A9" s="1091" t="s">
        <v>41</v>
      </c>
      <c r="B9" s="1091"/>
      <c r="C9" s="407">
        <f>'GABARITO DIGITAÇÃO'!C152</f>
        <v>0</v>
      </c>
      <c r="D9" s="408">
        <f>ABS(C9/$F$6)</f>
        <v>0</v>
      </c>
      <c r="E9" s="233" t="str">
        <f>IF(D9&lt;0.02000000000001,"Sim","Não")</f>
        <v>Sim</v>
      </c>
      <c r="I9" s="879">
        <f>ABS(D9)</f>
        <v>0</v>
      </c>
      <c r="J9" s="857"/>
      <c r="N9" s="379"/>
    </row>
    <row r="10" spans="1:14" ht="18.75" customHeight="1">
      <c r="A10" s="1086" t="s">
        <v>617</v>
      </c>
      <c r="B10" s="1086"/>
      <c r="C10" s="1086"/>
      <c r="D10" s="1086"/>
      <c r="E10" s="1086"/>
      <c r="F10" s="1086"/>
      <c r="G10" s="1086"/>
      <c r="H10" s="396"/>
    </row>
    <row r="11" spans="1:14" ht="15.75" customHeight="1">
      <c r="A11" s="396"/>
      <c r="B11" s="396"/>
      <c r="C11" s="396"/>
      <c r="D11" s="396"/>
      <c r="E11" s="396"/>
      <c r="F11" s="396"/>
      <c r="G11" s="396"/>
      <c r="H11" s="396"/>
    </row>
    <row r="12" spans="1:14" ht="15.75" customHeight="1">
      <c r="A12" s="25" t="s">
        <v>646</v>
      </c>
      <c r="B12" s="25"/>
      <c r="C12" s="25"/>
      <c r="D12" s="25"/>
      <c r="E12" s="25"/>
      <c r="F12" s="25"/>
      <c r="G12" s="25"/>
      <c r="H12" s="25"/>
      <c r="I12" s="25"/>
    </row>
    <row r="13" spans="1:14" ht="15.75" customHeight="1">
      <c r="L13" s="12" t="s">
        <v>504</v>
      </c>
    </row>
    <row r="14" spans="1:14" ht="15.75" customHeight="1">
      <c r="A14" s="19" t="str">
        <f>A5</f>
        <v>40kVp</v>
      </c>
      <c r="B14" s="19" t="str">
        <f>B5</f>
        <v>2,0mAs</v>
      </c>
      <c r="C14" s="1087" t="s">
        <v>563</v>
      </c>
      <c r="D14" s="1088"/>
      <c r="E14" s="19">
        <f>F6</f>
        <v>100</v>
      </c>
      <c r="F14" s="11" t="s">
        <v>44</v>
      </c>
      <c r="L14" s="33" t="s">
        <v>89</v>
      </c>
    </row>
    <row r="15" spans="1:14" ht="15.75" customHeight="1">
      <c r="C15" s="33" t="s">
        <v>52</v>
      </c>
      <c r="D15" s="517"/>
      <c r="E15" s="20"/>
      <c r="G15" s="259"/>
      <c r="L15" s="33" t="s">
        <v>90</v>
      </c>
    </row>
    <row r="16" spans="1:14" ht="18" customHeight="1">
      <c r="A16" s="1084" t="s">
        <v>48</v>
      </c>
      <c r="B16" s="1085"/>
      <c r="C16" s="33" t="str">
        <f>'GABARITO DIGITAÇÃO'!C157</f>
        <v>&lt; 1,5º</v>
      </c>
      <c r="D16" s="20"/>
      <c r="E16" s="20"/>
      <c r="G16" s="260"/>
      <c r="H16" s="174"/>
      <c r="I16" s="174"/>
      <c r="J16" s="174"/>
      <c r="L16" s="33" t="s">
        <v>47</v>
      </c>
    </row>
    <row r="17" spans="1:14" ht="15.75" customHeight="1">
      <c r="A17" s="143" t="s">
        <v>209</v>
      </c>
      <c r="B17" s="143"/>
      <c r="C17" s="143"/>
      <c r="D17" s="143"/>
      <c r="E17" s="143"/>
      <c r="F17" s="143"/>
      <c r="G17" s="143"/>
      <c r="H17" s="378"/>
      <c r="I17" s="143"/>
    </row>
    <row r="18" spans="1:14" ht="15.75" customHeight="1" thickBot="1">
      <c r="A18" s="10"/>
      <c r="H18" s="10"/>
    </row>
    <row r="19" spans="1:14" ht="15.75" customHeight="1" thickBot="1">
      <c r="A19" s="377" t="s">
        <v>513</v>
      </c>
      <c r="H19" s="10"/>
      <c r="J19" s="162" t="s">
        <v>121</v>
      </c>
      <c r="K19" s="163"/>
      <c r="L19" s="164"/>
      <c r="M19" s="163"/>
      <c r="N19" s="165"/>
    </row>
    <row r="20" spans="1:14" ht="15.75" customHeight="1">
      <c r="B20" s="145" t="s">
        <v>119</v>
      </c>
      <c r="C20" s="146" t="str">
        <f>MID(Capa!$C$28,1,3)</f>
        <v>0,6</v>
      </c>
      <c r="D20" s="147" t="s">
        <v>120</v>
      </c>
      <c r="E20" s="1074" t="s">
        <v>486</v>
      </c>
      <c r="F20" s="1075"/>
      <c r="G20" s="1076"/>
      <c r="H20" s="10"/>
      <c r="J20" s="120"/>
      <c r="K20" s="166" t="s">
        <v>113</v>
      </c>
      <c r="L20" s="19" t="s">
        <v>114</v>
      </c>
      <c r="M20" s="19" t="s">
        <v>115</v>
      </c>
      <c r="N20" s="167"/>
    </row>
    <row r="21" spans="1:14" ht="15.75" customHeight="1">
      <c r="C21" s="12"/>
      <c r="D21" s="109"/>
      <c r="E21" s="120"/>
      <c r="F21" s="1072" t="s">
        <v>213</v>
      </c>
      <c r="G21" s="1073"/>
      <c r="H21" s="10"/>
      <c r="J21" s="120"/>
      <c r="K21" s="144"/>
      <c r="L21" s="144"/>
      <c r="M21" s="144"/>
      <c r="N21" s="167"/>
    </row>
    <row r="22" spans="1:14" ht="15.75" customHeight="1">
      <c r="A22" s="515" t="s">
        <v>92</v>
      </c>
      <c r="B22" s="111"/>
      <c r="C22" s="13">
        <f>'GABARITO DIGITAÇÃO'!C162</f>
        <v>8</v>
      </c>
      <c r="D22" s="19"/>
      <c r="E22" s="176" t="s">
        <v>488</v>
      </c>
      <c r="F22" s="380" t="s">
        <v>214</v>
      </c>
      <c r="G22" s="403" t="s">
        <v>215</v>
      </c>
      <c r="H22" s="10"/>
      <c r="J22" s="120" t="s">
        <v>127</v>
      </c>
      <c r="K22" s="144"/>
      <c r="L22" s="148"/>
      <c r="M22" s="148"/>
      <c r="N22" s="167"/>
    </row>
    <row r="23" spans="1:14" ht="15.75" customHeight="1">
      <c r="A23" s="516" t="s">
        <v>111</v>
      </c>
      <c r="B23" s="149"/>
      <c r="C23" s="65" t="str">
        <f>IF(C22=11,"0,6",IF(C22=10,"0,7",IF(C22=9,"0,8",IF(C22=8,"1,0",IF(C22=7,"1,2",IF(C22=6,"1,4",IF(C22=5,"1,7",IF(C22=4,"2,0"," "))))))))</f>
        <v>1,0</v>
      </c>
      <c r="D23" s="19"/>
      <c r="E23" s="397">
        <v>0.3</v>
      </c>
      <c r="F23" s="95">
        <v>0.45</v>
      </c>
      <c r="G23" s="404">
        <v>0.65</v>
      </c>
      <c r="H23" s="10"/>
      <c r="J23" s="120" t="s">
        <v>123</v>
      </c>
      <c r="K23" s="10"/>
      <c r="L23" s="144">
        <v>46</v>
      </c>
      <c r="M23" s="148" t="s">
        <v>44</v>
      </c>
      <c r="N23" s="167"/>
    </row>
    <row r="24" spans="1:14" ht="15.75" customHeight="1">
      <c r="B24" s="14" t="s">
        <v>655</v>
      </c>
      <c r="C24" s="14">
        <f>ABS(100*(1-($C$20/C23)))</f>
        <v>40</v>
      </c>
      <c r="D24" s="112"/>
      <c r="E24" s="397">
        <v>0.6</v>
      </c>
      <c r="F24" s="95">
        <v>0.9</v>
      </c>
      <c r="G24" s="404">
        <v>1.3</v>
      </c>
      <c r="H24" s="10"/>
      <c r="J24" s="120" t="s">
        <v>122</v>
      </c>
      <c r="K24" s="10"/>
      <c r="L24" s="144">
        <v>0</v>
      </c>
      <c r="M24" s="148" t="s">
        <v>44</v>
      </c>
      <c r="N24" s="167"/>
    </row>
    <row r="25" spans="1:14" ht="15.75" customHeight="1">
      <c r="B25" s="13" t="s">
        <v>45</v>
      </c>
      <c r="C25" s="13" t="str">
        <f>IF(C24&lt;50,"Satisfatório","Verificar")</f>
        <v>Satisfatório</v>
      </c>
      <c r="D25" s="19"/>
      <c r="E25" s="397">
        <v>1</v>
      </c>
      <c r="F25" s="95">
        <v>1.4</v>
      </c>
      <c r="G25" s="404">
        <v>2</v>
      </c>
      <c r="H25" s="10"/>
      <c r="J25" s="120" t="s">
        <v>124</v>
      </c>
      <c r="K25" s="144"/>
      <c r="L25" s="160">
        <v>15</v>
      </c>
      <c r="M25" s="144" t="s">
        <v>44</v>
      </c>
      <c r="N25" s="167"/>
    </row>
    <row r="26" spans="1:14" ht="15.75" customHeight="1">
      <c r="B26" s="10"/>
      <c r="C26" s="19"/>
      <c r="D26" s="19"/>
      <c r="E26" s="398">
        <v>1.3</v>
      </c>
      <c r="F26" s="401">
        <v>1.8</v>
      </c>
      <c r="G26" s="405">
        <v>2.6</v>
      </c>
      <c r="H26" s="10"/>
      <c r="J26" s="120"/>
      <c r="K26" s="161" t="s">
        <v>121</v>
      </c>
      <c r="L26" s="148">
        <f>(L23+L24+L25)/L23</f>
        <v>1.326086956521739</v>
      </c>
      <c r="M26" s="144"/>
      <c r="N26" s="167"/>
    </row>
    <row r="27" spans="1:14" ht="15.75" customHeight="1">
      <c r="B27" s="145" t="s">
        <v>348</v>
      </c>
      <c r="C27" s="146" t="str">
        <f>MID(Capa!$C$28,7,3)</f>
        <v>1,2</v>
      </c>
      <c r="D27" s="147" t="s">
        <v>120</v>
      </c>
      <c r="E27" s="399">
        <v>1.6</v>
      </c>
      <c r="F27" s="95">
        <v>2.1</v>
      </c>
      <c r="G27" s="404">
        <v>3.1</v>
      </c>
      <c r="H27" s="10"/>
      <c r="J27" s="120"/>
      <c r="K27" s="19" t="s">
        <v>126</v>
      </c>
      <c r="L27" s="148">
        <v>5.66</v>
      </c>
      <c r="M27" s="144"/>
      <c r="N27" s="167"/>
    </row>
    <row r="28" spans="1:14" ht="15.75" customHeight="1">
      <c r="C28" s="12"/>
      <c r="D28" s="109"/>
      <c r="E28" s="397">
        <v>2</v>
      </c>
      <c r="F28" s="95">
        <v>2.6</v>
      </c>
      <c r="G28" s="404">
        <v>3.7</v>
      </c>
      <c r="H28" s="10"/>
      <c r="J28" s="120"/>
      <c r="K28" s="10"/>
      <c r="L28" s="10"/>
      <c r="M28" s="144"/>
      <c r="N28" s="167"/>
    </row>
    <row r="29" spans="1:14" ht="15.75" customHeight="1" thickBot="1">
      <c r="A29" s="110" t="s">
        <v>92</v>
      </c>
      <c r="B29" s="111"/>
      <c r="C29" s="13">
        <f>'GABARITO DIGITAÇÃO'!C166</f>
        <v>5</v>
      </c>
      <c r="D29" s="19"/>
      <c r="E29" s="400">
        <v>2.2000000000000002</v>
      </c>
      <c r="F29" s="402">
        <v>2.9</v>
      </c>
      <c r="G29" s="406">
        <v>4</v>
      </c>
      <c r="H29" s="10"/>
      <c r="J29" s="168" t="s">
        <v>125</v>
      </c>
      <c r="K29" s="169">
        <f>(L26/(L26-1))*1/L27</f>
        <v>0.71849234393404016</v>
      </c>
      <c r="L29" s="169" t="s">
        <v>120</v>
      </c>
      <c r="M29" s="170"/>
      <c r="N29" s="171"/>
    </row>
    <row r="30" spans="1:14" ht="15.75" customHeight="1" thickBot="1">
      <c r="A30" s="26" t="s">
        <v>111</v>
      </c>
      <c r="B30" s="149"/>
      <c r="C30" s="65" t="str">
        <f>IF(C29=3,"2,4",IF(C29=2,"2,9",IF(C29=9,"0,8",IF(C29=8,"1,0",IF(C29=7,"1,2",IF(C29=6,"1,4",IF(C29=5,"1,7",IF(C29=4,"2,0"," "))))))))</f>
        <v>1,7</v>
      </c>
      <c r="D30" s="19"/>
      <c r="E30" s="19"/>
      <c r="F30" s="19"/>
      <c r="G30" s="19"/>
      <c r="H30" s="10"/>
      <c r="J30" s="10"/>
      <c r="K30" s="148"/>
      <c r="L30" s="148"/>
      <c r="M30" s="144"/>
      <c r="N30" s="10"/>
    </row>
    <row r="31" spans="1:14" ht="15.75" customHeight="1">
      <c r="B31" s="14" t="s">
        <v>655</v>
      </c>
      <c r="C31" s="14">
        <f>ABS(100*(1-($C$27/C30)))</f>
        <v>29.411764705882348</v>
      </c>
      <c r="D31" s="112"/>
      <c r="E31" s="19"/>
      <c r="F31" s="19"/>
      <c r="G31" s="19"/>
      <c r="H31" s="10"/>
      <c r="J31" s="1063" t="s">
        <v>332</v>
      </c>
      <c r="K31" s="1064"/>
      <c r="L31" s="1064"/>
      <c r="M31" s="1064"/>
      <c r="N31" s="1065"/>
    </row>
    <row r="32" spans="1:14" ht="15.75" customHeight="1">
      <c r="B32" s="13" t="s">
        <v>45</v>
      </c>
      <c r="C32" s="13" t="str">
        <f>IF(C31&lt;50,"Satisfatório","Verificar")</f>
        <v>Satisfatório</v>
      </c>
      <c r="D32" s="19"/>
      <c r="E32" s="19"/>
      <c r="F32" s="19"/>
      <c r="G32" s="19"/>
      <c r="H32" s="10"/>
      <c r="J32" s="1066"/>
      <c r="K32" s="1067"/>
      <c r="L32" s="1067"/>
      <c r="M32" s="1067"/>
      <c r="N32" s="1068"/>
    </row>
    <row r="33" spans="1:15" ht="15.75" customHeight="1">
      <c r="A33" s="10"/>
      <c r="B33" s="10"/>
      <c r="C33" s="19"/>
      <c r="D33" s="19"/>
      <c r="E33" s="19"/>
      <c r="F33" s="19"/>
      <c r="G33" s="19"/>
      <c r="H33" s="10"/>
      <c r="J33" s="1066"/>
      <c r="K33" s="1067"/>
      <c r="L33" s="1067"/>
      <c r="M33" s="1067"/>
      <c r="N33" s="1068"/>
    </row>
    <row r="34" spans="1:15" ht="15.75" customHeight="1" thickBot="1">
      <c r="A34" s="113" t="s">
        <v>629</v>
      </c>
      <c r="B34" s="113"/>
      <c r="C34" s="113"/>
      <c r="D34" s="113"/>
      <c r="E34" s="113"/>
      <c r="F34" s="113"/>
      <c r="G34" s="113"/>
      <c r="H34" s="52"/>
      <c r="J34" s="1069"/>
      <c r="K34" s="1070"/>
      <c r="L34" s="1070"/>
      <c r="M34" s="1070"/>
      <c r="N34" s="1071"/>
    </row>
    <row r="35" spans="1:15" ht="15.75" customHeight="1">
      <c r="A35" s="1056" t="str">
        <f>CONCATENATE("Obs.: Teste não avaliado para ",'GABARITO DIGITAÇÃO'!A55)</f>
        <v xml:space="preserve">Obs.: Teste não avaliado para Sistema de processamento Digital (DR) </v>
      </c>
      <c r="B35" s="1056"/>
      <c r="C35" s="1056"/>
      <c r="D35" s="1056"/>
      <c r="E35" s="1056"/>
      <c r="F35" s="1056"/>
      <c r="G35" s="1056"/>
      <c r="H35" s="52"/>
      <c r="J35" s="269"/>
      <c r="K35" s="269"/>
      <c r="L35" s="269"/>
      <c r="M35" s="269"/>
      <c r="N35" s="269"/>
    </row>
    <row r="36" spans="1:15" ht="15.75" customHeight="1">
      <c r="H36" s="52"/>
      <c r="I36" s="114"/>
    </row>
    <row r="37" spans="1:15" ht="15.75" customHeight="1">
      <c r="A37" s="85" t="s">
        <v>531</v>
      </c>
      <c r="H37" s="52"/>
    </row>
    <row r="38" spans="1:15" ht="15.75" customHeight="1">
      <c r="A38" s="6" t="s">
        <v>291</v>
      </c>
      <c r="B38" s="6" t="s">
        <v>318</v>
      </c>
      <c r="C38" s="23" t="s">
        <v>49</v>
      </c>
      <c r="D38" s="23"/>
      <c r="E38" s="104"/>
      <c r="F38" s="20"/>
      <c r="G38" s="20"/>
      <c r="H38" s="115"/>
      <c r="I38" s="115"/>
    </row>
    <row r="39" spans="1:15" ht="15.75" customHeight="1">
      <c r="B39" s="20"/>
      <c r="C39" s="477" t="s">
        <v>624</v>
      </c>
      <c r="D39" s="477" t="s">
        <v>625</v>
      </c>
      <c r="E39" s="477" t="s">
        <v>36</v>
      </c>
      <c r="F39" s="477" t="s">
        <v>626</v>
      </c>
      <c r="G39" s="477" t="s">
        <v>627</v>
      </c>
      <c r="H39" s="19"/>
      <c r="I39" s="19"/>
      <c r="K39" s="836"/>
      <c r="L39" s="837"/>
      <c r="M39" s="837"/>
      <c r="N39" s="837"/>
      <c r="O39" s="838"/>
    </row>
    <row r="40" spans="1:15" ht="15.75" customHeight="1">
      <c r="B40" s="116" t="s">
        <v>37</v>
      </c>
      <c r="C40" s="99">
        <f>'GABARITO DIGITAÇÃO'!B170</f>
        <v>0</v>
      </c>
      <c r="D40" s="99">
        <f>'GABARITO DIGITAÇÃO'!C170</f>
        <v>0</v>
      </c>
      <c r="E40" s="99">
        <f>'GABARITO DIGITAÇÃO'!D170</f>
        <v>0</v>
      </c>
      <c r="F40" s="99">
        <f>'GABARITO DIGITAÇÃO'!E170</f>
        <v>0</v>
      </c>
      <c r="G40" s="99">
        <f>'GABARITO DIGITAÇÃO'!F170</f>
        <v>0</v>
      </c>
      <c r="H40" s="150"/>
      <c r="K40" s="839">
        <f>E40-C40</f>
        <v>0</v>
      </c>
      <c r="L40" s="840">
        <f>E40-D40</f>
        <v>0</v>
      </c>
      <c r="M40" s="840"/>
      <c r="N40" s="841">
        <f>E40-F40</f>
        <v>0</v>
      </c>
      <c r="O40" s="842">
        <f>E40-G40</f>
        <v>0</v>
      </c>
    </row>
    <row r="41" spans="1:15" ht="15.75" customHeight="1">
      <c r="A41" s="18" t="s">
        <v>603</v>
      </c>
      <c r="B41" s="13" t="e">
        <f>IF(MAX(M41:M42)&gt;10,"Verificar",IF(MAX(M41:M42)&lt;-10,"Verificar","Satisfatório"))</f>
        <v>#DIV/0!</v>
      </c>
      <c r="H41" s="150"/>
      <c r="K41" s="839"/>
      <c r="L41" s="840"/>
      <c r="M41" s="840" t="e">
        <f>ABS(1-(L40/N40))*100</f>
        <v>#DIV/0!</v>
      </c>
      <c r="N41" s="843"/>
      <c r="O41" s="844"/>
    </row>
    <row r="42" spans="1:15" ht="15.75" customHeight="1">
      <c r="A42" s="18"/>
      <c r="B42" s="19"/>
      <c r="H42" s="150"/>
      <c r="K42" s="845"/>
      <c r="L42" s="846"/>
      <c r="M42" s="846" t="e">
        <f>ABS(1-(K40/O40))*100</f>
        <v>#DIV/0!</v>
      </c>
      <c r="N42" s="847"/>
      <c r="O42" s="848"/>
    </row>
    <row r="43" spans="1:15" ht="15.75" customHeight="1">
      <c r="E43" s="172"/>
      <c r="F43" s="172"/>
      <c r="G43" s="172"/>
      <c r="H43" s="101"/>
    </row>
    <row r="44" spans="1:15" ht="15.75" customHeight="1">
      <c r="A44" s="85" t="s">
        <v>532</v>
      </c>
      <c r="C44" s="172"/>
      <c r="D44" s="172"/>
      <c r="H44" s="101"/>
      <c r="I44" s="114"/>
    </row>
    <row r="45" spans="1:15" ht="15.75" customHeight="1">
      <c r="A45" s="6" t="s">
        <v>319</v>
      </c>
      <c r="B45" s="6" t="s">
        <v>318</v>
      </c>
      <c r="C45" s="911" t="s">
        <v>320</v>
      </c>
      <c r="D45" s="911"/>
      <c r="E45" s="913"/>
      <c r="F45" s="913"/>
      <c r="G45" s="913"/>
      <c r="H45" s="101"/>
      <c r="K45" s="836"/>
      <c r="L45" s="837"/>
      <c r="M45" s="837"/>
      <c r="N45" s="837"/>
      <c r="O45" s="838"/>
    </row>
    <row r="46" spans="1:15" ht="15.75" customHeight="1">
      <c r="B46" s="20"/>
      <c r="C46" s="33" t="s">
        <v>624</v>
      </c>
      <c r="D46" s="33" t="s">
        <v>625</v>
      </c>
      <c r="E46" s="33" t="s">
        <v>36</v>
      </c>
      <c r="F46" s="33" t="s">
        <v>626</v>
      </c>
      <c r="G46" s="33" t="s">
        <v>627</v>
      </c>
      <c r="H46" s="102"/>
      <c r="I46" s="115"/>
      <c r="K46" s="849">
        <f>E47-C47</f>
        <v>0</v>
      </c>
      <c r="L46" s="114">
        <f>E47-D47</f>
        <v>0</v>
      </c>
      <c r="M46" s="114"/>
      <c r="N46" s="850">
        <f>E47-F47</f>
        <v>0</v>
      </c>
      <c r="O46" s="851">
        <f>E47-G47</f>
        <v>0</v>
      </c>
    </row>
    <row r="47" spans="1:15" ht="15.75" customHeight="1">
      <c r="B47" s="116" t="s">
        <v>37</v>
      </c>
      <c r="C47" s="99">
        <f>'GABARITO DIGITAÇÃO'!B173</f>
        <v>0</v>
      </c>
      <c r="D47" s="99">
        <f>'GABARITO DIGITAÇÃO'!C173</f>
        <v>0</v>
      </c>
      <c r="E47" s="99">
        <f>'GABARITO DIGITAÇÃO'!D173</f>
        <v>0</v>
      </c>
      <c r="F47" s="99">
        <f>'GABARITO DIGITAÇÃO'!E173</f>
        <v>0</v>
      </c>
      <c r="G47" s="99">
        <f>'GABARITO DIGITAÇÃO'!F173</f>
        <v>0</v>
      </c>
      <c r="H47" s="834"/>
      <c r="I47" s="835"/>
      <c r="K47" s="849"/>
      <c r="L47" s="114"/>
      <c r="M47" s="114" t="e">
        <f>ABS(1-(L46/N46))*100</f>
        <v>#DIV/0!</v>
      </c>
      <c r="N47" s="852"/>
      <c r="O47" s="853"/>
    </row>
    <row r="48" spans="1:15" ht="15.75" customHeight="1">
      <c r="A48" s="18" t="s">
        <v>603</v>
      </c>
      <c r="B48" s="13" t="e">
        <f>IF(MAX(M47:M48)&gt;10,"Verificar",IF(MAX(M47:M48)&lt;-10,"Verificar","Satisfatório"))</f>
        <v>#DIV/0!</v>
      </c>
      <c r="H48" s="150"/>
      <c r="K48" s="854"/>
      <c r="L48" s="855"/>
      <c r="M48" s="855" t="e">
        <f>ABS(1-(K46/O46))*100</f>
        <v>#DIV/0!</v>
      </c>
      <c r="N48" s="856"/>
      <c r="O48" s="857"/>
    </row>
    <row r="49" spans="1:15" ht="27" customHeight="1">
      <c r="A49" s="1083" t="s">
        <v>628</v>
      </c>
      <c r="B49" s="1083"/>
      <c r="C49" s="1083"/>
      <c r="D49" s="1083"/>
      <c r="E49" s="1083"/>
      <c r="F49" s="1083"/>
      <c r="G49" s="1083"/>
      <c r="H49" s="150"/>
      <c r="K49" s="114"/>
      <c r="L49" s="114"/>
      <c r="M49" s="114"/>
      <c r="N49" s="852"/>
      <c r="O49" s="10"/>
    </row>
    <row r="50" spans="1:15" ht="15.75" customHeight="1">
      <c r="H50" s="151"/>
    </row>
    <row r="51" spans="1:15" ht="15.75" customHeight="1">
      <c r="A51" s="317" t="s">
        <v>647</v>
      </c>
      <c r="B51" s="331"/>
      <c r="C51" s="331"/>
      <c r="D51" s="331"/>
      <c r="E51" s="331"/>
      <c r="F51" s="331"/>
      <c r="G51" s="315"/>
      <c r="H51" s="315"/>
      <c r="I51" s="315"/>
      <c r="J51" s="315"/>
      <c r="K51" s="315"/>
    </row>
    <row r="52" spans="1:15" ht="15.75" customHeight="1">
      <c r="A52" s="1056" t="s">
        <v>607</v>
      </c>
      <c r="B52" s="1056"/>
      <c r="C52" s="1056"/>
      <c r="D52" s="1056"/>
      <c r="E52" s="1056"/>
      <c r="F52" s="1056"/>
      <c r="G52" s="1056"/>
      <c r="H52" s="315"/>
      <c r="I52" s="315"/>
      <c r="J52" s="315"/>
      <c r="K52" s="315"/>
    </row>
    <row r="53" spans="1:15" ht="15.75" customHeight="1">
      <c r="A53" s="332" t="s">
        <v>446</v>
      </c>
      <c r="B53" s="315"/>
      <c r="C53" s="794">
        <f>F6</f>
        <v>100</v>
      </c>
      <c r="D53" s="333" t="s">
        <v>44</v>
      </c>
      <c r="E53" s="334"/>
      <c r="F53" s="335"/>
      <c r="G53" s="315"/>
      <c r="H53" s="315"/>
      <c r="I53" s="315"/>
      <c r="J53" s="315"/>
      <c r="K53" s="315"/>
    </row>
    <row r="54" spans="1:15" ht="15.75" customHeight="1">
      <c r="A54" s="904" t="s">
        <v>630</v>
      </c>
      <c r="B54" s="336" t="s">
        <v>43</v>
      </c>
      <c r="C54" s="336" t="s">
        <v>447</v>
      </c>
      <c r="D54" s="336" t="s">
        <v>45</v>
      </c>
      <c r="E54" s="1078" t="s">
        <v>448</v>
      </c>
      <c r="F54" s="1078"/>
      <c r="G54" s="1078"/>
      <c r="I54" s="315"/>
      <c r="J54" s="315"/>
      <c r="K54" s="324"/>
    </row>
    <row r="55" spans="1:15" ht="15.75" customHeight="1">
      <c r="A55" s="905" t="s">
        <v>631</v>
      </c>
      <c r="B55" s="329">
        <f>C6</f>
        <v>0</v>
      </c>
      <c r="C55" s="108">
        <f>B55/$C$53</f>
        <v>0</v>
      </c>
      <c r="D55" s="337" t="str">
        <f>IF(C55&lt;0.03000000000001,"Sim","Não")</f>
        <v>Sim</v>
      </c>
      <c r="E55" s="858">
        <f>MAX(C55:C58)</f>
        <v>0</v>
      </c>
      <c r="F55" s="1079" t="str">
        <f>IF(E55&gt;0.031,"Verificar","Satisfatório")</f>
        <v>Satisfatório</v>
      </c>
      <c r="G55" s="1080"/>
      <c r="I55" s="315"/>
      <c r="J55" s="338" t="s">
        <v>450</v>
      </c>
      <c r="K55" s="315"/>
    </row>
    <row r="56" spans="1:15" ht="15.75" customHeight="1">
      <c r="A56" s="905" t="s">
        <v>632</v>
      </c>
      <c r="B56" s="329">
        <f>C7</f>
        <v>0</v>
      </c>
      <c r="C56" s="108">
        <f t="shared" ref="C56:C58" si="0">B56/$C$53</f>
        <v>0</v>
      </c>
      <c r="D56" s="337" t="str">
        <f>IF(C56&lt;0.03000000000001,"Sim","Não")</f>
        <v>Sim</v>
      </c>
      <c r="E56" s="391"/>
      <c r="F56" s="391"/>
      <c r="G56" s="392"/>
      <c r="I56" s="325"/>
      <c r="J56" s="374">
        <f>SUM(B55:B58)</f>
        <v>0</v>
      </c>
      <c r="K56" s="325"/>
    </row>
    <row r="57" spans="1:15" ht="15.75" customHeight="1">
      <c r="A57" s="905" t="s">
        <v>633</v>
      </c>
      <c r="B57" s="329">
        <f>C8</f>
        <v>0</v>
      </c>
      <c r="C57" s="108">
        <f t="shared" si="0"/>
        <v>0</v>
      </c>
      <c r="D57" s="337" t="str">
        <f>IF(C57&lt;0.03000000000001,"Sim","Não")</f>
        <v>Sim</v>
      </c>
      <c r="E57" s="1081" t="s">
        <v>449</v>
      </c>
      <c r="F57" s="1081"/>
      <c r="G57" s="1081"/>
      <c r="I57" s="325"/>
      <c r="J57" s="325"/>
      <c r="K57" s="325"/>
    </row>
    <row r="58" spans="1:15" ht="15.75" customHeight="1">
      <c r="A58" s="905" t="s">
        <v>634</v>
      </c>
      <c r="B58" s="329">
        <f>C9</f>
        <v>0</v>
      </c>
      <c r="C58" s="108">
        <f t="shared" si="0"/>
        <v>0</v>
      </c>
      <c r="D58" s="337" t="str">
        <f>IF(C58&lt;0.03000000000001,"Sim","Não")</f>
        <v>Sim</v>
      </c>
      <c r="E58" s="390">
        <f>J56/C53</f>
        <v>0</v>
      </c>
      <c r="F58" s="1082" t="str">
        <f>IF(E58&gt;0.041,"Verificar","Satisfatório")</f>
        <v>Satisfatório</v>
      </c>
      <c r="G58" s="1082"/>
      <c r="I58" s="315"/>
      <c r="J58" s="315"/>
      <c r="K58" s="315"/>
    </row>
    <row r="59" spans="1:15" ht="29.25" customHeight="1">
      <c r="A59" s="1077" t="s">
        <v>616</v>
      </c>
      <c r="B59" s="1077"/>
      <c r="C59" s="1077"/>
      <c r="D59" s="1077"/>
      <c r="E59" s="1077"/>
      <c r="F59" s="1077"/>
      <c r="G59" s="1077"/>
      <c r="H59" s="859"/>
      <c r="I59" s="859"/>
      <c r="J59" s="859"/>
      <c r="K59" s="859"/>
    </row>
    <row r="60" spans="1:15" ht="15.75" customHeight="1"/>
    <row r="61" spans="1:15" ht="15.75" customHeight="1"/>
    <row r="62" spans="1:15" ht="15.75" customHeight="1"/>
    <row r="63" spans="1:15" ht="15.75" customHeight="1"/>
  </sheetData>
  <mergeCells count="20">
    <mergeCell ref="A16:B16"/>
    <mergeCell ref="A10:G10"/>
    <mergeCell ref="C14:D14"/>
    <mergeCell ref="A1:G1"/>
    <mergeCell ref="F5:G5"/>
    <mergeCell ref="A8:B8"/>
    <mergeCell ref="A9:B9"/>
    <mergeCell ref="A6:B6"/>
    <mergeCell ref="A7:B7"/>
    <mergeCell ref="J31:N34"/>
    <mergeCell ref="F21:G21"/>
    <mergeCell ref="E20:G20"/>
    <mergeCell ref="A35:G35"/>
    <mergeCell ref="A59:G59"/>
    <mergeCell ref="A52:G52"/>
    <mergeCell ref="E54:G54"/>
    <mergeCell ref="F55:G55"/>
    <mergeCell ref="E57:G57"/>
    <mergeCell ref="F58:G58"/>
    <mergeCell ref="A49:G49"/>
  </mergeCells>
  <phoneticPr fontId="21" type="noConversion"/>
  <printOptions horizontalCentered="1" verticalCentered="1"/>
  <pageMargins left="0.78740157480314965" right="0.78740157480314965" top="1.7716535433070868" bottom="0.98425196850393704" header="0.51181102362204722" footer="0.51181102362204722"/>
  <pageSetup paperSize="9" scale="90" orientation="portrait" r:id="rId1"/>
  <headerFooter alignWithMargins="0">
    <oddFooter>&amp;L&amp;8
&amp;F &amp;C6</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AN47"/>
  <sheetViews>
    <sheetView view="pageBreakPreview" topLeftCell="A7" zoomScale="90" zoomScaleNormal="100" zoomScaleSheetLayoutView="90" workbookViewId="0">
      <selection activeCell="G42" sqref="G42"/>
    </sheetView>
  </sheetViews>
  <sheetFormatPr defaultRowHeight="11.25"/>
  <cols>
    <col min="1" max="1" width="11.5703125" style="509" customWidth="1"/>
    <col min="2" max="2" width="10.140625" style="508" customWidth="1"/>
    <col min="3" max="3" width="12.140625" style="508" customWidth="1"/>
    <col min="4" max="4" width="7.140625" style="508" hidden="1" customWidth="1"/>
    <col min="5" max="5" width="11.28515625" style="509" customWidth="1"/>
    <col min="6" max="6" width="10.85546875" style="508" customWidth="1"/>
    <col min="7" max="7" width="11.7109375" style="510" customWidth="1"/>
    <col min="8" max="8" width="13.140625" style="509" customWidth="1"/>
    <col min="9" max="9" width="10.140625" style="509" hidden="1" customWidth="1"/>
    <col min="10" max="12" width="9.140625" style="507"/>
    <col min="13" max="40" width="9.140625" style="501"/>
    <col min="41" max="16384" width="9.140625" style="502"/>
  </cols>
  <sheetData>
    <row r="1" spans="1:40" ht="15.75">
      <c r="A1" s="1092" t="s">
        <v>134</v>
      </c>
      <c r="B1" s="1092"/>
      <c r="C1" s="1092"/>
      <c r="D1" s="1092"/>
      <c r="E1" s="1092"/>
      <c r="F1" s="1092"/>
      <c r="G1" s="1092"/>
      <c r="H1" s="1092"/>
      <c r="I1" s="1092"/>
      <c r="J1" s="1092"/>
      <c r="K1" s="500"/>
      <c r="L1" s="500"/>
    </row>
    <row r="2" spans="1:40" ht="15.75">
      <c r="A2" s="486"/>
      <c r="B2" s="486"/>
      <c r="C2" s="486"/>
      <c r="D2" s="486"/>
      <c r="E2" s="486"/>
      <c r="F2" s="486"/>
      <c r="G2" s="486"/>
      <c r="H2" s="486"/>
      <c r="I2" s="486"/>
      <c r="J2" s="500"/>
      <c r="K2" s="500"/>
      <c r="L2" s="500"/>
    </row>
    <row r="3" spans="1:40" ht="15.75">
      <c r="A3" s="486" t="s">
        <v>648</v>
      </c>
      <c r="B3" s="486"/>
      <c r="C3" s="486"/>
      <c r="D3" s="486"/>
      <c r="E3" s="486"/>
      <c r="F3" s="486"/>
      <c r="G3" s="486"/>
      <c r="H3" s="486"/>
      <c r="I3" s="486"/>
      <c r="J3" s="500"/>
      <c r="K3" s="500"/>
      <c r="L3" s="500"/>
    </row>
    <row r="4" spans="1:40" ht="11.25" customHeight="1">
      <c r="A4" s="486"/>
      <c r="B4" s="486"/>
      <c r="C4" s="486"/>
      <c r="D4" s="486"/>
      <c r="E4" s="486"/>
      <c r="F4" s="486"/>
      <c r="G4" s="486"/>
      <c r="H4" s="486"/>
      <c r="I4" s="486"/>
    </row>
    <row r="5" spans="1:40" s="505" customFormat="1" ht="15.75">
      <c r="A5" s="11" t="s">
        <v>561</v>
      </c>
      <c r="B5" s="11"/>
      <c r="C5" s="11"/>
      <c r="D5" s="11"/>
      <c r="E5" s="11"/>
      <c r="F5" s="518">
        <f>'GABARITO DIGITAÇÃO'!B178</f>
        <v>200</v>
      </c>
      <c r="G5" s="486"/>
      <c r="H5" s="486"/>
      <c r="I5" s="486"/>
      <c r="J5" s="503"/>
      <c r="K5" s="503"/>
      <c r="L5" s="503"/>
      <c r="M5" s="504"/>
      <c r="N5" s="504"/>
      <c r="O5" s="504"/>
      <c r="P5" s="504"/>
      <c r="Q5" s="504"/>
      <c r="R5" s="504"/>
      <c r="S5" s="504"/>
      <c r="T5" s="504"/>
      <c r="U5" s="504"/>
      <c r="V5" s="504"/>
      <c r="W5" s="504"/>
      <c r="X5" s="504"/>
      <c r="Y5" s="504"/>
      <c r="Z5" s="504"/>
      <c r="AA5" s="504"/>
      <c r="AB5" s="504"/>
      <c r="AC5" s="504"/>
      <c r="AD5" s="504"/>
      <c r="AE5" s="504"/>
      <c r="AF5" s="504"/>
      <c r="AG5" s="504"/>
      <c r="AH5" s="504"/>
      <c r="AI5" s="504"/>
      <c r="AJ5" s="504"/>
      <c r="AK5" s="504"/>
      <c r="AL5" s="504"/>
      <c r="AM5" s="504"/>
      <c r="AN5" s="504"/>
    </row>
    <row r="6" spans="1:40" s="505" customFormat="1" ht="15.75">
      <c r="A6" s="11" t="s">
        <v>562</v>
      </c>
      <c r="B6" s="11"/>
      <c r="C6" s="11"/>
      <c r="D6" s="11"/>
      <c r="E6" s="11"/>
      <c r="F6" s="11">
        <v>1.4</v>
      </c>
      <c r="G6" s="486"/>
      <c r="H6" s="486"/>
      <c r="I6" s="486"/>
      <c r="J6" s="503"/>
      <c r="K6" s="503"/>
      <c r="L6" s="503"/>
      <c r="M6" s="504"/>
      <c r="N6" s="504"/>
      <c r="O6" s="504"/>
      <c r="P6" s="504"/>
      <c r="Q6" s="504"/>
      <c r="R6" s="504"/>
      <c r="S6" s="504"/>
      <c r="T6" s="504"/>
      <c r="U6" s="504"/>
      <c r="V6" s="504"/>
      <c r="W6" s="504"/>
      <c r="X6" s="504"/>
      <c r="Y6" s="504"/>
      <c r="Z6" s="504"/>
      <c r="AA6" s="504"/>
      <c r="AB6" s="504"/>
      <c r="AC6" s="504"/>
      <c r="AD6" s="504"/>
      <c r="AE6" s="504"/>
      <c r="AF6" s="504"/>
      <c r="AG6" s="504"/>
      <c r="AH6" s="504"/>
      <c r="AI6" s="504"/>
      <c r="AJ6" s="504"/>
      <c r="AK6" s="504"/>
      <c r="AL6" s="504"/>
      <c r="AM6" s="504"/>
      <c r="AN6" s="504"/>
    </row>
    <row r="7" spans="1:40" s="505" customFormat="1" ht="11.25" customHeight="1">
      <c r="A7" s="11"/>
      <c r="B7" s="11"/>
      <c r="C7" s="11"/>
      <c r="D7" s="11"/>
      <c r="E7" s="11"/>
      <c r="F7" s="11"/>
      <c r="G7" s="486"/>
      <c r="H7" s="486"/>
      <c r="I7" s="486"/>
      <c r="J7" s="503"/>
      <c r="K7" s="503"/>
      <c r="L7" s="503"/>
      <c r="M7" s="504"/>
      <c r="N7" s="504"/>
      <c r="O7" s="504"/>
      <c r="P7" s="504"/>
      <c r="Q7" s="504"/>
      <c r="R7" s="504"/>
      <c r="S7" s="504"/>
      <c r="T7" s="504"/>
      <c r="U7" s="504"/>
      <c r="V7" s="504"/>
      <c r="W7" s="504"/>
      <c r="X7" s="504"/>
      <c r="Y7" s="504"/>
      <c r="Z7" s="504"/>
      <c r="AA7" s="504"/>
      <c r="AB7" s="504"/>
      <c r="AC7" s="504"/>
      <c r="AD7" s="504"/>
      <c r="AE7" s="504"/>
      <c r="AF7" s="504"/>
      <c r="AG7" s="504"/>
      <c r="AH7" s="504"/>
      <c r="AI7" s="504"/>
      <c r="AJ7" s="504"/>
      <c r="AK7" s="504"/>
      <c r="AL7" s="504"/>
      <c r="AM7" s="504"/>
      <c r="AN7" s="504"/>
    </row>
    <row r="8" spans="1:40" s="505" customFormat="1" ht="15.75">
      <c r="A8" s="486" t="s">
        <v>329</v>
      </c>
      <c r="B8" s="486"/>
      <c r="C8" s="486"/>
      <c r="D8" s="486"/>
      <c r="E8" s="486"/>
      <c r="F8" s="486"/>
      <c r="G8" s="486"/>
      <c r="H8" s="486"/>
      <c r="I8" s="486"/>
      <c r="J8" s="503"/>
      <c r="K8" s="503"/>
      <c r="L8" s="503"/>
      <c r="M8" s="504"/>
      <c r="N8" s="504"/>
      <c r="O8" s="504"/>
      <c r="P8" s="504"/>
      <c r="Q8" s="504"/>
      <c r="R8" s="504"/>
      <c r="S8" s="504"/>
      <c r="T8" s="504"/>
      <c r="U8" s="504"/>
      <c r="V8" s="504"/>
      <c r="W8" s="504"/>
      <c r="X8" s="504"/>
      <c r="Y8" s="504"/>
      <c r="Z8" s="504"/>
      <c r="AA8" s="504"/>
      <c r="AB8" s="504"/>
      <c r="AC8" s="504"/>
      <c r="AD8" s="504"/>
      <c r="AE8" s="504"/>
      <c r="AF8" s="504"/>
      <c r="AG8" s="504"/>
      <c r="AH8" s="504"/>
      <c r="AI8" s="504"/>
      <c r="AJ8" s="504"/>
      <c r="AK8" s="504"/>
      <c r="AL8" s="504"/>
      <c r="AM8" s="504"/>
      <c r="AN8" s="504"/>
    </row>
    <row r="9" spans="1:40" s="505" customFormat="1" ht="18.75" customHeight="1">
      <c r="A9" s="486" t="s">
        <v>97</v>
      </c>
      <c r="B9" s="486"/>
      <c r="C9" s="486"/>
      <c r="D9" s="486"/>
      <c r="E9" s="486"/>
      <c r="F9" s="486"/>
      <c r="G9" s="486"/>
      <c r="H9" s="486"/>
      <c r="I9" s="486"/>
      <c r="J9" s="503"/>
      <c r="K9" s="503"/>
      <c r="L9" s="503"/>
      <c r="N9" s="504"/>
      <c r="O9" s="504"/>
      <c r="P9" s="504"/>
      <c r="Q9" s="504"/>
      <c r="R9" s="504"/>
      <c r="S9" s="504"/>
      <c r="T9" s="504"/>
      <c r="U9" s="504"/>
      <c r="V9" s="504"/>
      <c r="W9" s="504"/>
      <c r="X9" s="504"/>
      <c r="Y9" s="504"/>
      <c r="Z9" s="504"/>
      <c r="AA9" s="504"/>
      <c r="AB9" s="504"/>
      <c r="AC9" s="504"/>
      <c r="AD9" s="504"/>
      <c r="AE9" s="504"/>
      <c r="AF9" s="504"/>
      <c r="AG9" s="504"/>
      <c r="AH9" s="504"/>
      <c r="AI9" s="504"/>
      <c r="AJ9" s="504"/>
      <c r="AK9" s="504"/>
      <c r="AL9" s="504"/>
      <c r="AM9" s="504"/>
      <c r="AN9" s="504"/>
    </row>
    <row r="10" spans="1:40" s="505" customFormat="1" ht="15.75">
      <c r="A10" s="11" t="s">
        <v>242</v>
      </c>
      <c r="B10" s="486"/>
      <c r="D10" s="486" t="s">
        <v>196</v>
      </c>
      <c r="E10" s="511">
        <f>'GABARITO DIGITAÇÃO'!B177</f>
        <v>1</v>
      </c>
      <c r="F10" s="511" t="s">
        <v>241</v>
      </c>
      <c r="G10" s="486"/>
      <c r="H10" s="486"/>
      <c r="I10" s="486"/>
      <c r="J10" s="503"/>
      <c r="K10" s="503"/>
      <c r="L10" s="503"/>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row>
    <row r="11" spans="1:40" s="505" customFormat="1" ht="45">
      <c r="A11" s="513" t="s">
        <v>567</v>
      </c>
      <c r="B11" s="492" t="s">
        <v>194</v>
      </c>
      <c r="C11" s="492" t="s">
        <v>2</v>
      </c>
      <c r="D11" s="492" t="s">
        <v>80</v>
      </c>
      <c r="E11" s="513" t="s">
        <v>649</v>
      </c>
      <c r="F11" s="513" t="s">
        <v>565</v>
      </c>
      <c r="G11" s="513" t="s">
        <v>566</v>
      </c>
      <c r="H11" s="513" t="s">
        <v>564</v>
      </c>
      <c r="I11" s="492" t="s">
        <v>197</v>
      </c>
      <c r="J11" s="512"/>
      <c r="K11" s="503"/>
      <c r="L11" s="503"/>
      <c r="M11" s="504"/>
      <c r="N11" s="504"/>
      <c r="O11" s="504"/>
      <c r="P11" s="504"/>
      <c r="Q11" s="504"/>
      <c r="R11" s="504"/>
      <c r="S11" s="504"/>
      <c r="T11" s="504"/>
      <c r="U11" s="504"/>
      <c r="V11" s="504"/>
      <c r="W11" s="504"/>
      <c r="X11" s="504"/>
      <c r="Y11" s="504"/>
      <c r="Z11" s="504"/>
      <c r="AA11" s="504"/>
      <c r="AB11" s="504"/>
      <c r="AC11" s="504"/>
      <c r="AD11" s="504"/>
      <c r="AE11" s="504"/>
      <c r="AF11" s="504"/>
      <c r="AG11" s="504"/>
      <c r="AH11" s="504"/>
      <c r="AI11" s="504"/>
      <c r="AJ11" s="504"/>
      <c r="AK11" s="504"/>
      <c r="AL11" s="504"/>
      <c r="AM11" s="504"/>
      <c r="AN11" s="504"/>
    </row>
    <row r="12" spans="1:40" s="506" customFormat="1" ht="15.75">
      <c r="A12" s="488" t="s">
        <v>190</v>
      </c>
      <c r="B12" s="233">
        <f>'GABARITO DIGITAÇÃO'!C180</f>
        <v>60</v>
      </c>
      <c r="C12" s="233">
        <f>'GABARITO DIGITAÇÃO'!D180</f>
        <v>20</v>
      </c>
      <c r="D12" s="233">
        <v>2.5</v>
      </c>
      <c r="E12" s="233">
        <v>0.23</v>
      </c>
      <c r="F12" s="233">
        <f>'GABARITO DIGITAÇÃO'!E180</f>
        <v>88.9</v>
      </c>
      <c r="G12" s="407">
        <f>(F12/((E$10-E12)^2))*0.00876*$F$6</f>
        <v>1.8388760330578515</v>
      </c>
      <c r="H12" s="233">
        <f>'GABARITO DIGITAÇÃO'!F180</f>
        <v>10</v>
      </c>
      <c r="I12" s="486" t="e">
        <f>#REF!/3</f>
        <v>#REF!</v>
      </c>
      <c r="J12" s="503"/>
      <c r="K12" s="503"/>
      <c r="L12" s="503"/>
      <c r="M12" s="504"/>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4"/>
      <c r="AK12" s="504"/>
      <c r="AL12" s="504"/>
      <c r="AM12" s="504"/>
      <c r="AN12" s="504"/>
    </row>
    <row r="13" spans="1:40" s="506" customFormat="1" ht="15">
      <c r="A13" s="488" t="s">
        <v>191</v>
      </c>
      <c r="B13" s="233">
        <f>'GABARITO DIGITAÇÃO'!C181</f>
        <v>60</v>
      </c>
      <c r="C13" s="233">
        <f>'GABARITO DIGITAÇÃO'!D181</f>
        <v>40</v>
      </c>
      <c r="D13" s="233">
        <v>2.6</v>
      </c>
      <c r="E13" s="407">
        <v>0.3</v>
      </c>
      <c r="F13" s="233">
        <f>'GABARITO DIGITAÇÃO'!E181</f>
        <v>175.2</v>
      </c>
      <c r="G13" s="407">
        <f>(F13/((E$10-E13)^2))*0.00876*$F$6</f>
        <v>4.3850057142857146</v>
      </c>
      <c r="H13" s="233">
        <f>'GABARITO DIGITAÇÃO'!F181</f>
        <v>30</v>
      </c>
      <c r="I13" s="233">
        <f>'GABARITO DIGITAÇÃO'!G181</f>
        <v>0</v>
      </c>
      <c r="J13" s="503"/>
      <c r="K13" s="503"/>
      <c r="L13" s="503"/>
      <c r="M13" s="504"/>
      <c r="N13" s="504"/>
      <c r="O13" s="504"/>
      <c r="P13" s="504"/>
      <c r="Q13" s="504"/>
      <c r="R13" s="504"/>
      <c r="S13" s="504"/>
      <c r="T13" s="504"/>
      <c r="U13" s="504"/>
      <c r="V13" s="504"/>
      <c r="W13" s="504"/>
      <c r="X13" s="504"/>
      <c r="Y13" s="504"/>
      <c r="Z13" s="504"/>
      <c r="AA13" s="504"/>
      <c r="AB13" s="504"/>
      <c r="AC13" s="504"/>
      <c r="AD13" s="504"/>
      <c r="AE13" s="504"/>
      <c r="AF13" s="504"/>
      <c r="AG13" s="504"/>
      <c r="AH13" s="504"/>
      <c r="AI13" s="504"/>
      <c r="AJ13" s="504"/>
      <c r="AK13" s="504"/>
      <c r="AL13" s="504"/>
      <c r="AM13" s="504"/>
      <c r="AN13" s="504"/>
    </row>
    <row r="14" spans="1:40" s="506" customFormat="1" ht="15.75">
      <c r="A14" s="488" t="s">
        <v>192</v>
      </c>
      <c r="B14" s="233">
        <f>'GABARITO DIGITAÇÃO'!C182</f>
        <v>60</v>
      </c>
      <c r="C14" s="233">
        <f>'GABARITO DIGITAÇÃO'!D182</f>
        <v>80</v>
      </c>
      <c r="D14" s="233">
        <v>2</v>
      </c>
      <c r="E14" s="407">
        <v>0.2</v>
      </c>
      <c r="F14" s="233">
        <f>'GABARITO DIGITAÇÃO'!E182</f>
        <v>342</v>
      </c>
      <c r="G14" s="407">
        <f>(F14/((E$10-E14)^2))*0.00876*$F$6</f>
        <v>6.5535749999999977</v>
      </c>
      <c r="H14" s="233">
        <f>'GABARITO DIGITAÇÃO'!F182</f>
        <v>40</v>
      </c>
      <c r="I14" s="486" t="e">
        <f>#REF!/3</f>
        <v>#REF!</v>
      </c>
      <c r="J14" s="503"/>
      <c r="K14" s="503"/>
      <c r="L14" s="503"/>
      <c r="M14" s="504"/>
      <c r="N14" s="504"/>
      <c r="O14" s="504"/>
      <c r="P14" s="504"/>
      <c r="Q14" s="504"/>
      <c r="R14" s="504"/>
      <c r="S14" s="504"/>
      <c r="T14" s="504"/>
      <c r="U14" s="504"/>
      <c r="V14" s="504"/>
      <c r="W14" s="504"/>
      <c r="X14" s="504"/>
      <c r="Y14" s="504"/>
      <c r="Z14" s="504"/>
      <c r="AA14" s="504"/>
      <c r="AB14" s="504"/>
      <c r="AC14" s="504"/>
      <c r="AD14" s="504"/>
      <c r="AE14" s="504"/>
      <c r="AF14" s="504"/>
      <c r="AG14" s="504"/>
      <c r="AH14" s="504"/>
      <c r="AI14" s="504"/>
      <c r="AJ14" s="504"/>
      <c r="AK14" s="504"/>
      <c r="AL14" s="504"/>
      <c r="AM14" s="504"/>
      <c r="AN14" s="504"/>
    </row>
    <row r="15" spans="1:40" s="504" customFormat="1" ht="15.75">
      <c r="A15" s="486"/>
      <c r="B15" s="486"/>
      <c r="C15" s="486"/>
      <c r="D15" s="486"/>
      <c r="E15" s="486"/>
      <c r="F15" s="486"/>
      <c r="G15" s="486"/>
      <c r="H15" s="486"/>
      <c r="I15" s="486"/>
      <c r="J15" s="503"/>
      <c r="K15" s="503"/>
      <c r="L15" s="503"/>
    </row>
    <row r="16" spans="1:40" s="505" customFormat="1" ht="15.75" hidden="1">
      <c r="A16" s="486" t="s">
        <v>334</v>
      </c>
      <c r="B16" s="486"/>
      <c r="C16" s="486"/>
      <c r="D16" s="486"/>
      <c r="E16" s="486"/>
      <c r="F16" s="486"/>
      <c r="G16" s="486"/>
      <c r="H16" s="486"/>
      <c r="I16" s="486"/>
      <c r="J16" s="503"/>
      <c r="K16" s="503"/>
      <c r="L16" s="503"/>
      <c r="M16" s="504"/>
      <c r="N16" s="504"/>
      <c r="O16" s="504"/>
      <c r="P16" s="504"/>
      <c r="Q16" s="504"/>
      <c r="R16" s="504"/>
      <c r="S16" s="504"/>
      <c r="T16" s="504"/>
      <c r="U16" s="504"/>
      <c r="V16" s="504"/>
      <c r="W16" s="504"/>
      <c r="X16" s="504"/>
      <c r="Y16" s="504"/>
      <c r="Z16" s="504"/>
      <c r="AA16" s="504"/>
      <c r="AB16" s="504"/>
      <c r="AC16" s="504"/>
      <c r="AD16" s="504"/>
      <c r="AE16" s="504"/>
      <c r="AF16" s="504"/>
      <c r="AG16" s="504"/>
      <c r="AH16" s="504"/>
      <c r="AI16" s="504"/>
      <c r="AJ16" s="504"/>
      <c r="AK16" s="504"/>
      <c r="AL16" s="504"/>
      <c r="AM16" s="504"/>
      <c r="AN16" s="504"/>
    </row>
    <row r="17" spans="1:40" s="505" customFormat="1" ht="15.75" hidden="1">
      <c r="A17" s="505" t="s">
        <v>242</v>
      </c>
      <c r="B17" s="486"/>
      <c r="D17" s="486" t="s">
        <v>196</v>
      </c>
      <c r="E17" s="511">
        <f>E10</f>
        <v>1</v>
      </c>
      <c r="F17" s="511" t="s">
        <v>241</v>
      </c>
      <c r="G17" s="486"/>
      <c r="H17" s="486"/>
      <c r="I17" s="486"/>
      <c r="J17" s="503"/>
      <c r="K17" s="503"/>
      <c r="L17" s="503"/>
      <c r="M17" s="504"/>
      <c r="N17" s="504"/>
      <c r="O17" s="504"/>
      <c r="P17" s="504"/>
      <c r="Q17" s="504"/>
      <c r="R17" s="504"/>
      <c r="S17" s="504"/>
      <c r="T17" s="504"/>
      <c r="U17" s="504"/>
      <c r="V17" s="504"/>
      <c r="W17" s="504"/>
      <c r="X17" s="504"/>
      <c r="Y17" s="504"/>
      <c r="Z17" s="504"/>
      <c r="AA17" s="504"/>
      <c r="AB17" s="504"/>
      <c r="AC17" s="504"/>
      <c r="AD17" s="504"/>
      <c r="AE17" s="504"/>
      <c r="AF17" s="504"/>
      <c r="AG17" s="504"/>
      <c r="AH17" s="504"/>
      <c r="AI17" s="504"/>
      <c r="AJ17" s="504"/>
      <c r="AK17" s="504"/>
      <c r="AL17" s="504"/>
      <c r="AM17" s="504"/>
      <c r="AN17" s="504"/>
    </row>
    <row r="18" spans="1:40" s="505" customFormat="1" ht="15.75" hidden="1">
      <c r="A18" s="486"/>
      <c r="B18" s="486"/>
      <c r="C18" s="486"/>
      <c r="D18" s="486"/>
      <c r="E18" s="486"/>
      <c r="F18" s="486"/>
      <c r="G18" s="486"/>
      <c r="H18" s="486"/>
      <c r="I18" s="486"/>
      <c r="J18" s="503"/>
      <c r="K18" s="503"/>
      <c r="L18" s="503"/>
      <c r="M18" s="504"/>
      <c r="N18" s="504"/>
      <c r="O18" s="504"/>
      <c r="P18" s="504"/>
      <c r="Q18" s="504"/>
      <c r="R18" s="504"/>
      <c r="S18" s="504"/>
      <c r="T18" s="504"/>
      <c r="U18" s="504"/>
      <c r="V18" s="504"/>
      <c r="W18" s="504"/>
      <c r="X18" s="504"/>
      <c r="Y18" s="504"/>
      <c r="Z18" s="504"/>
      <c r="AA18" s="504"/>
      <c r="AB18" s="504"/>
      <c r="AC18" s="504"/>
      <c r="AD18" s="504"/>
      <c r="AE18" s="504"/>
      <c r="AF18" s="504"/>
      <c r="AG18" s="504"/>
      <c r="AH18" s="504"/>
      <c r="AI18" s="504"/>
      <c r="AJ18" s="504"/>
      <c r="AK18" s="504"/>
      <c r="AL18" s="504"/>
      <c r="AM18" s="504"/>
      <c r="AN18" s="504"/>
    </row>
    <row r="19" spans="1:40" s="506" customFormat="1" ht="15.75" hidden="1">
      <c r="A19" s="488" t="s">
        <v>190</v>
      </c>
      <c r="B19" s="233">
        <f>'GABARITO DIGITAÇÃO'!C183</f>
        <v>0</v>
      </c>
      <c r="C19" s="233">
        <f>'GABARITO DIGITAÇÃO'!D183</f>
        <v>0</v>
      </c>
      <c r="D19" s="233">
        <v>2.5</v>
      </c>
      <c r="E19" s="233">
        <v>0.23</v>
      </c>
      <c r="F19" s="233">
        <f>'GABARITO DIGITAÇÃO'!E183</f>
        <v>0</v>
      </c>
      <c r="G19" s="233">
        <f>(F19/((E$17-E19)^2))*0.00876*$F$6</f>
        <v>0</v>
      </c>
      <c r="H19" s="233">
        <f>'GABARITO DIGITAÇÃO'!F183</f>
        <v>7</v>
      </c>
      <c r="I19" s="486" t="e">
        <f>#REF!/3</f>
        <v>#REF!</v>
      </c>
      <c r="J19" s="503"/>
      <c r="K19" s="503"/>
      <c r="L19" s="503"/>
      <c r="M19" s="504"/>
      <c r="N19" s="504"/>
      <c r="O19" s="504"/>
      <c r="P19" s="504"/>
      <c r="Q19" s="504"/>
      <c r="R19" s="504"/>
      <c r="S19" s="504"/>
      <c r="T19" s="504"/>
      <c r="U19" s="504"/>
      <c r="V19" s="504"/>
      <c r="W19" s="504"/>
      <c r="X19" s="504"/>
      <c r="Y19" s="504"/>
      <c r="Z19" s="504"/>
      <c r="AA19" s="504"/>
      <c r="AB19" s="504"/>
      <c r="AC19" s="504"/>
      <c r="AD19" s="504"/>
      <c r="AE19" s="504"/>
      <c r="AF19" s="504"/>
      <c r="AG19" s="504"/>
      <c r="AH19" s="504"/>
      <c r="AI19" s="504"/>
      <c r="AJ19" s="504"/>
      <c r="AK19" s="504"/>
      <c r="AL19" s="504"/>
      <c r="AM19" s="504"/>
      <c r="AN19" s="504"/>
    </row>
    <row r="20" spans="1:40" s="505" customFormat="1" ht="15.75" hidden="1">
      <c r="A20" s="488" t="s">
        <v>191</v>
      </c>
      <c r="B20" s="233">
        <f>'GABARITO DIGITAÇÃO'!C184</f>
        <v>0</v>
      </c>
      <c r="C20" s="233">
        <f>'GABARITO DIGITAÇÃO'!D184</f>
        <v>0</v>
      </c>
      <c r="D20" s="233">
        <v>2.6</v>
      </c>
      <c r="E20" s="407">
        <v>0.3</v>
      </c>
      <c r="F20" s="233">
        <f>'GABARITO DIGITAÇÃO'!E184</f>
        <v>0</v>
      </c>
      <c r="G20" s="233">
        <f>(F20/((E$17-E20)^2))*0.00876*$F$6</f>
        <v>0</v>
      </c>
      <c r="H20" s="233">
        <f>'GABARITO DIGITAÇÃO'!F184</f>
        <v>20</v>
      </c>
      <c r="I20" s="486" t="e">
        <f>#REF!/3</f>
        <v>#REF!</v>
      </c>
      <c r="J20" s="503"/>
      <c r="K20" s="503"/>
      <c r="L20" s="503"/>
      <c r="M20" s="504"/>
      <c r="N20" s="504"/>
      <c r="O20" s="504"/>
      <c r="P20" s="504"/>
      <c r="Q20" s="504"/>
      <c r="R20" s="504"/>
      <c r="S20" s="504"/>
      <c r="T20" s="504"/>
      <c r="U20" s="504"/>
      <c r="V20" s="504"/>
      <c r="W20" s="504"/>
      <c r="X20" s="504"/>
      <c r="Y20" s="504"/>
      <c r="Z20" s="504"/>
      <c r="AA20" s="504"/>
      <c r="AB20" s="504"/>
      <c r="AC20" s="504"/>
      <c r="AD20" s="504"/>
      <c r="AE20" s="504"/>
      <c r="AF20" s="504"/>
      <c r="AG20" s="504"/>
      <c r="AH20" s="504"/>
      <c r="AI20" s="504"/>
      <c r="AJ20" s="504"/>
      <c r="AK20" s="504"/>
      <c r="AL20" s="504"/>
      <c r="AM20" s="504"/>
      <c r="AN20" s="504"/>
    </row>
    <row r="21" spans="1:40" s="505" customFormat="1" ht="15.75" hidden="1">
      <c r="A21" s="486"/>
      <c r="B21" s="486"/>
      <c r="C21" s="486"/>
      <c r="D21" s="486"/>
      <c r="E21" s="486"/>
      <c r="F21" s="486"/>
      <c r="G21" s="486"/>
      <c r="H21" s="486"/>
      <c r="I21" s="486"/>
      <c r="J21" s="503"/>
      <c r="K21" s="503"/>
      <c r="L21" s="503"/>
      <c r="M21" s="504"/>
      <c r="N21" s="504"/>
      <c r="O21" s="504"/>
      <c r="P21" s="504"/>
      <c r="Q21" s="504"/>
      <c r="R21" s="504"/>
      <c r="S21" s="504"/>
      <c r="T21" s="504"/>
      <c r="U21" s="504"/>
      <c r="V21" s="504"/>
      <c r="W21" s="504"/>
      <c r="X21" s="504"/>
      <c r="Y21" s="504"/>
      <c r="Z21" s="504"/>
      <c r="AA21" s="504"/>
      <c r="AB21" s="504"/>
      <c r="AC21" s="504"/>
      <c r="AD21" s="504"/>
      <c r="AE21" s="504"/>
      <c r="AF21" s="504"/>
      <c r="AG21" s="504"/>
      <c r="AH21" s="504"/>
      <c r="AI21" s="504"/>
      <c r="AJ21" s="504"/>
      <c r="AK21" s="504"/>
      <c r="AL21" s="504"/>
      <c r="AM21" s="504"/>
      <c r="AN21" s="504"/>
    </row>
    <row r="22" spans="1:40" s="505" customFormat="1" ht="15.75">
      <c r="A22" s="486" t="s">
        <v>333</v>
      </c>
      <c r="B22" s="486"/>
      <c r="C22" s="486"/>
      <c r="D22" s="486"/>
      <c r="E22" s="486"/>
      <c r="F22" s="486"/>
      <c r="G22" s="486"/>
      <c r="H22" s="486"/>
      <c r="I22" s="486"/>
      <c r="J22" s="503"/>
      <c r="K22" s="503"/>
      <c r="L22" s="503"/>
      <c r="M22" s="504"/>
      <c r="N22" s="504"/>
      <c r="O22" s="504"/>
      <c r="P22" s="504"/>
      <c r="Q22" s="504"/>
      <c r="R22" s="504"/>
      <c r="S22" s="504"/>
      <c r="T22" s="504"/>
      <c r="U22" s="504"/>
      <c r="V22" s="504"/>
      <c r="W22" s="504"/>
      <c r="X22" s="504"/>
      <c r="Y22" s="504"/>
      <c r="Z22" s="504"/>
      <c r="AA22" s="504"/>
      <c r="AB22" s="504"/>
      <c r="AC22" s="504"/>
      <c r="AD22" s="504"/>
      <c r="AE22" s="504"/>
      <c r="AF22" s="504"/>
      <c r="AG22" s="504"/>
      <c r="AH22" s="504"/>
      <c r="AI22" s="504"/>
      <c r="AJ22" s="504"/>
      <c r="AK22" s="504"/>
      <c r="AL22" s="504"/>
      <c r="AM22" s="504"/>
      <c r="AN22" s="504"/>
    </row>
    <row r="23" spans="1:40" s="505" customFormat="1" ht="15.75">
      <c r="A23" s="505" t="s">
        <v>242</v>
      </c>
      <c r="B23" s="486"/>
      <c r="D23" s="486" t="s">
        <v>196</v>
      </c>
      <c r="E23" s="511">
        <f>E10</f>
        <v>1</v>
      </c>
      <c r="F23" s="511" t="s">
        <v>241</v>
      </c>
      <c r="G23" s="486"/>
      <c r="H23" s="486"/>
      <c r="I23" s="486"/>
      <c r="J23" s="503"/>
      <c r="K23" s="503"/>
      <c r="L23" s="503"/>
      <c r="M23" s="504"/>
      <c r="N23" s="504"/>
      <c r="O23" s="504"/>
      <c r="P23" s="504"/>
      <c r="Q23" s="504"/>
      <c r="R23" s="504"/>
      <c r="S23" s="504"/>
      <c r="T23" s="504"/>
      <c r="U23" s="504"/>
      <c r="V23" s="504"/>
      <c r="W23" s="504"/>
      <c r="X23" s="504"/>
      <c r="Y23" s="504"/>
      <c r="Z23" s="504"/>
      <c r="AA23" s="504"/>
      <c r="AB23" s="504"/>
      <c r="AC23" s="504"/>
      <c r="AD23" s="504"/>
      <c r="AE23" s="504"/>
      <c r="AF23" s="504"/>
      <c r="AG23" s="504"/>
      <c r="AH23" s="504"/>
      <c r="AI23" s="504"/>
      <c r="AJ23" s="504"/>
      <c r="AK23" s="504"/>
      <c r="AL23" s="504"/>
      <c r="AM23" s="504"/>
      <c r="AN23" s="504"/>
    </row>
    <row r="24" spans="1:40" s="506" customFormat="1" ht="15.75">
      <c r="A24" s="486"/>
      <c r="B24" s="486"/>
      <c r="C24" s="486"/>
      <c r="D24" s="486"/>
      <c r="E24" s="486"/>
      <c r="F24" s="486"/>
      <c r="G24" s="486"/>
      <c r="H24" s="486"/>
      <c r="I24" s="486"/>
      <c r="J24" s="503"/>
      <c r="K24" s="503"/>
      <c r="L24" s="503"/>
      <c r="M24" s="504"/>
      <c r="N24" s="504"/>
      <c r="O24" s="504"/>
      <c r="P24" s="504"/>
      <c r="Q24" s="504"/>
      <c r="R24" s="504"/>
      <c r="S24" s="504"/>
      <c r="T24" s="504"/>
      <c r="U24" s="504"/>
      <c r="V24" s="504"/>
      <c r="W24" s="504"/>
      <c r="X24" s="504"/>
      <c r="Y24" s="504"/>
      <c r="Z24" s="504"/>
      <c r="AA24" s="504"/>
      <c r="AB24" s="504"/>
      <c r="AC24" s="504"/>
      <c r="AD24" s="504"/>
      <c r="AE24" s="504"/>
      <c r="AF24" s="504"/>
      <c r="AG24" s="504"/>
      <c r="AH24" s="504"/>
      <c r="AI24" s="504"/>
      <c r="AJ24" s="504"/>
      <c r="AK24" s="504"/>
      <c r="AL24" s="504"/>
      <c r="AM24" s="504"/>
      <c r="AN24" s="504"/>
    </row>
    <row r="25" spans="1:40" s="506" customFormat="1" ht="15.75">
      <c r="A25" s="488" t="s">
        <v>190</v>
      </c>
      <c r="B25" s="233">
        <f>'GABARITO DIGITAÇÃO'!C185</f>
        <v>70</v>
      </c>
      <c r="C25" s="233">
        <f>'GABARITO DIGITAÇÃO'!D185</f>
        <v>40</v>
      </c>
      <c r="D25" s="233">
        <v>2</v>
      </c>
      <c r="E25" s="233">
        <v>0.23</v>
      </c>
      <c r="F25" s="233">
        <f>'GABARITO DIGITAÇÃO'!E185</f>
        <v>123.2</v>
      </c>
      <c r="G25" s="407">
        <f>(F25/((E$23-E25)^2))*0.00876*$F$6</f>
        <v>2.5483636363636362</v>
      </c>
      <c r="H25" s="233">
        <f>'GABARITO DIGITAÇÃO'!F185</f>
        <v>10</v>
      </c>
      <c r="I25" s="486" t="e">
        <f>#REF!/3</f>
        <v>#REF!</v>
      </c>
      <c r="J25" s="503"/>
      <c r="K25" s="503"/>
      <c r="L25" s="503"/>
      <c r="M25" s="504"/>
      <c r="N25" s="504"/>
      <c r="O25" s="504"/>
      <c r="P25" s="504"/>
      <c r="Q25" s="504"/>
      <c r="R25" s="504"/>
      <c r="S25" s="504"/>
      <c r="T25" s="504"/>
      <c r="U25" s="504"/>
      <c r="V25" s="504"/>
      <c r="W25" s="504"/>
      <c r="X25" s="504"/>
      <c r="Y25" s="504"/>
      <c r="Z25" s="504"/>
      <c r="AA25" s="504"/>
      <c r="AB25" s="504"/>
      <c r="AC25" s="504"/>
      <c r="AD25" s="504"/>
      <c r="AE25" s="504"/>
      <c r="AF25" s="504"/>
      <c r="AG25" s="504"/>
      <c r="AH25" s="504"/>
      <c r="AI25" s="504"/>
      <c r="AJ25" s="504"/>
      <c r="AK25" s="504"/>
      <c r="AL25" s="504"/>
      <c r="AM25" s="504"/>
      <c r="AN25" s="504"/>
    </row>
    <row r="26" spans="1:40" s="505" customFormat="1" ht="15.75">
      <c r="A26" s="486"/>
      <c r="B26" s="486"/>
      <c r="C26" s="486"/>
      <c r="D26" s="486"/>
      <c r="E26" s="486"/>
      <c r="F26" s="486"/>
      <c r="G26" s="486"/>
      <c r="H26" s="486"/>
      <c r="I26" s="486"/>
      <c r="J26" s="503"/>
      <c r="K26" s="503"/>
      <c r="L26" s="503"/>
      <c r="M26" s="504"/>
      <c r="N26" s="504"/>
      <c r="O26" s="504"/>
      <c r="P26" s="504"/>
      <c r="Q26" s="504"/>
      <c r="R26" s="504"/>
      <c r="S26" s="504"/>
      <c r="T26" s="504"/>
      <c r="U26" s="504"/>
      <c r="V26" s="504"/>
      <c r="W26" s="504"/>
      <c r="X26" s="504"/>
      <c r="Y26" s="504"/>
      <c r="Z26" s="504"/>
      <c r="AA26" s="504"/>
      <c r="AB26" s="504"/>
      <c r="AC26" s="504"/>
      <c r="AD26" s="504"/>
      <c r="AE26" s="504"/>
      <c r="AF26" s="504"/>
      <c r="AG26" s="504"/>
      <c r="AH26" s="504"/>
      <c r="AI26" s="504"/>
      <c r="AJ26" s="504"/>
      <c r="AK26" s="504"/>
      <c r="AL26" s="504"/>
      <c r="AM26" s="504"/>
      <c r="AN26" s="504"/>
    </row>
    <row r="27" spans="1:40" s="505" customFormat="1" ht="15.75">
      <c r="A27" s="486" t="s">
        <v>106</v>
      </c>
      <c r="B27" s="486"/>
      <c r="C27" s="486"/>
      <c r="D27" s="486"/>
      <c r="E27" s="486"/>
      <c r="F27" s="486"/>
      <c r="G27" s="486"/>
      <c r="H27" s="486"/>
      <c r="I27" s="486"/>
      <c r="J27" s="503"/>
      <c r="K27" s="503"/>
      <c r="L27" s="503"/>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504"/>
    </row>
    <row r="28" spans="1:40" s="505" customFormat="1" ht="15.75">
      <c r="A28" s="505" t="s">
        <v>240</v>
      </c>
      <c r="B28" s="486"/>
      <c r="D28" s="486"/>
      <c r="E28" s="511">
        <v>1.8</v>
      </c>
      <c r="F28" s="511" t="s">
        <v>241</v>
      </c>
      <c r="G28" s="486"/>
      <c r="H28" s="486"/>
      <c r="I28" s="486"/>
      <c r="J28" s="503"/>
      <c r="K28" s="503"/>
      <c r="L28" s="503"/>
      <c r="M28" s="504"/>
      <c r="N28" s="504"/>
      <c r="O28" s="504"/>
      <c r="P28" s="504"/>
      <c r="Q28" s="504"/>
      <c r="R28" s="504"/>
      <c r="S28" s="504"/>
      <c r="T28" s="504"/>
      <c r="U28" s="504"/>
      <c r="V28" s="504"/>
      <c r="W28" s="504"/>
      <c r="X28" s="504"/>
      <c r="Y28" s="504"/>
      <c r="Z28" s="504"/>
      <c r="AA28" s="504"/>
      <c r="AB28" s="504"/>
      <c r="AC28" s="504"/>
      <c r="AD28" s="504"/>
      <c r="AE28" s="504"/>
      <c r="AF28" s="504"/>
      <c r="AG28" s="504"/>
      <c r="AH28" s="504"/>
      <c r="AI28" s="504"/>
      <c r="AJ28" s="504"/>
      <c r="AK28" s="504"/>
      <c r="AL28" s="504"/>
      <c r="AM28" s="504"/>
      <c r="AN28" s="504"/>
    </row>
    <row r="29" spans="1:40" s="505" customFormat="1" ht="15.75">
      <c r="A29" s="486"/>
      <c r="B29" s="486"/>
      <c r="C29" s="486"/>
      <c r="D29" s="486"/>
      <c r="E29" s="486"/>
      <c r="F29" s="486"/>
      <c r="G29" s="486"/>
      <c r="H29" s="486"/>
      <c r="I29" s="486"/>
      <c r="J29" s="503"/>
      <c r="K29" s="503"/>
      <c r="L29" s="503"/>
      <c r="M29" s="504"/>
      <c r="N29" s="504"/>
      <c r="O29" s="504"/>
      <c r="P29" s="504"/>
      <c r="Q29" s="504"/>
      <c r="R29" s="504"/>
      <c r="S29" s="504"/>
      <c r="T29" s="504"/>
      <c r="U29" s="504"/>
      <c r="V29" s="504"/>
      <c r="W29" s="504"/>
      <c r="X29" s="504"/>
      <c r="Y29" s="504"/>
      <c r="Z29" s="504"/>
      <c r="AA29" s="504"/>
      <c r="AB29" s="504"/>
      <c r="AC29" s="504"/>
      <c r="AD29" s="504"/>
      <c r="AE29" s="504"/>
      <c r="AF29" s="504"/>
      <c r="AG29" s="504"/>
      <c r="AH29" s="504"/>
      <c r="AI29" s="504"/>
      <c r="AJ29" s="504"/>
      <c r="AK29" s="504"/>
      <c r="AL29" s="504"/>
      <c r="AM29" s="504"/>
      <c r="AN29" s="504"/>
    </row>
    <row r="30" spans="1:40" s="506" customFormat="1" ht="15.75">
      <c r="A30" s="488" t="s">
        <v>193</v>
      </c>
      <c r="B30" s="233">
        <f>'GABARITO DIGITAÇÃO'!C186</f>
        <v>90</v>
      </c>
      <c r="C30" s="233">
        <f>'GABARITO DIGITAÇÃO'!D186</f>
        <v>5</v>
      </c>
      <c r="D30" s="233">
        <v>3.2</v>
      </c>
      <c r="E30" s="233">
        <v>0.23</v>
      </c>
      <c r="F30" s="233">
        <f>'GABARITO DIGITAÇÃO'!E186</f>
        <v>50.3</v>
      </c>
      <c r="G30" s="407">
        <f>(F30/((E$28-E30)^2))*0.00876*$F$6</f>
        <v>0.25026540630451538</v>
      </c>
      <c r="H30" s="233">
        <f>'GABARITO DIGITAÇÃO'!F186</f>
        <v>0.4</v>
      </c>
      <c r="I30" s="486" t="e">
        <f>#REF!/3</f>
        <v>#REF!</v>
      </c>
      <c r="J30" s="503"/>
      <c r="K30" s="503"/>
      <c r="L30" s="503"/>
      <c r="M30" s="504"/>
      <c r="N30" s="504"/>
      <c r="O30" s="504"/>
      <c r="P30" s="504"/>
      <c r="Q30" s="504"/>
      <c r="R30" s="504"/>
      <c r="S30" s="504"/>
      <c r="T30" s="504"/>
      <c r="U30" s="504"/>
      <c r="V30" s="504"/>
      <c r="W30" s="504"/>
      <c r="X30" s="504"/>
      <c r="Y30" s="504"/>
      <c r="Z30" s="504"/>
      <c r="AA30" s="504"/>
      <c r="AB30" s="504"/>
      <c r="AC30" s="504"/>
      <c r="AD30" s="504"/>
      <c r="AE30" s="504"/>
      <c r="AF30" s="504"/>
      <c r="AG30" s="504"/>
      <c r="AH30" s="504"/>
      <c r="AI30" s="504"/>
      <c r="AJ30" s="504"/>
      <c r="AK30" s="504"/>
      <c r="AL30" s="504"/>
      <c r="AM30" s="504"/>
      <c r="AN30" s="504"/>
    </row>
    <row r="31" spans="1:40" s="506" customFormat="1" ht="15.75">
      <c r="A31" s="488" t="s">
        <v>191</v>
      </c>
      <c r="B31" s="233">
        <f>'GABARITO DIGITAÇÃO'!C187</f>
        <v>100</v>
      </c>
      <c r="C31" s="233">
        <f>'GABARITO DIGITAÇÃO'!D187</f>
        <v>10</v>
      </c>
      <c r="D31" s="233">
        <v>3</v>
      </c>
      <c r="E31" s="233">
        <v>0.32</v>
      </c>
      <c r="F31" s="233">
        <f>'GABARITO DIGITAÇÃO'!E187</f>
        <v>120.3</v>
      </c>
      <c r="G31" s="407">
        <f>(F31/((E$28-E31)^2))*0.00876*$F$6</f>
        <v>0.67355697589481367</v>
      </c>
      <c r="H31" s="233">
        <f>'GABARITO DIGITAÇÃO'!F187</f>
        <v>1.5</v>
      </c>
      <c r="I31" s="486" t="e">
        <f>#REF!/3</f>
        <v>#REF!</v>
      </c>
      <c r="J31" s="503"/>
      <c r="K31" s="503"/>
      <c r="L31" s="503"/>
      <c r="M31" s="504"/>
      <c r="N31" s="504"/>
      <c r="O31" s="504"/>
      <c r="P31" s="504"/>
      <c r="Q31" s="504"/>
      <c r="R31" s="504"/>
      <c r="S31" s="504"/>
      <c r="T31" s="504"/>
      <c r="U31" s="504"/>
      <c r="V31" s="504"/>
      <c r="W31" s="504"/>
      <c r="X31" s="504"/>
      <c r="Y31" s="504"/>
      <c r="Z31" s="504"/>
      <c r="AA31" s="504"/>
      <c r="AB31" s="504"/>
      <c r="AC31" s="504"/>
      <c r="AD31" s="504"/>
      <c r="AE31" s="504"/>
      <c r="AF31" s="504"/>
      <c r="AG31" s="504"/>
      <c r="AH31" s="504"/>
      <c r="AI31" s="504"/>
      <c r="AJ31" s="504"/>
      <c r="AK31" s="504"/>
      <c r="AL31" s="504"/>
      <c r="AM31" s="504"/>
      <c r="AN31" s="504"/>
    </row>
    <row r="32" spans="1:40" ht="15.75">
      <c r="A32" s="486"/>
      <c r="B32" s="486"/>
      <c r="C32" s="486"/>
      <c r="D32" s="486"/>
      <c r="E32" s="486"/>
      <c r="F32" s="486"/>
      <c r="G32" s="486"/>
      <c r="H32" s="486"/>
      <c r="I32" s="486"/>
    </row>
    <row r="33" spans="1:9" ht="15.75">
      <c r="A33" s="486" t="s">
        <v>110</v>
      </c>
      <c r="B33" s="486"/>
      <c r="C33" s="486"/>
      <c r="D33" s="486"/>
      <c r="E33" s="486"/>
      <c r="F33" s="486"/>
      <c r="G33" s="486"/>
      <c r="H33" s="486"/>
      <c r="I33" s="486"/>
    </row>
    <row r="34" spans="1:9" ht="15.75">
      <c r="A34" s="505" t="s">
        <v>242</v>
      </c>
      <c r="B34" s="486"/>
      <c r="C34" s="502"/>
      <c r="D34" s="486" t="s">
        <v>196</v>
      </c>
      <c r="E34" s="511">
        <f>E10</f>
        <v>1</v>
      </c>
      <c r="F34" s="511" t="s">
        <v>241</v>
      </c>
      <c r="G34" s="486"/>
      <c r="H34" s="486"/>
      <c r="I34" s="486"/>
    </row>
    <row r="35" spans="1:9" ht="15.75">
      <c r="A35" s="486"/>
      <c r="B35" s="486"/>
      <c r="C35" s="486"/>
      <c r="D35" s="486"/>
      <c r="E35" s="486"/>
      <c r="F35" s="486"/>
      <c r="G35" s="486"/>
      <c r="H35" s="486"/>
      <c r="I35" s="486"/>
    </row>
    <row r="36" spans="1:9" ht="15.75">
      <c r="A36" s="488" t="s">
        <v>190</v>
      </c>
      <c r="B36" s="233">
        <f>'GABARITO DIGITAÇÃO'!C188</f>
        <v>65</v>
      </c>
      <c r="C36" s="233">
        <f>'GABARITO DIGITAÇÃO'!D188</f>
        <v>25</v>
      </c>
      <c r="D36" s="233">
        <v>1.5</v>
      </c>
      <c r="E36" s="233">
        <v>0.19</v>
      </c>
      <c r="F36" s="233">
        <f>'GABARITO DIGITAÇÃO'!E188</f>
        <v>132.69999999999999</v>
      </c>
      <c r="G36" s="407">
        <f>(F36/((E$34-E36)^2))*0.00876*$F$6</f>
        <v>2.4804645633287601</v>
      </c>
      <c r="H36" s="233">
        <f>'GABARITO DIGITAÇÃO'!F188</f>
        <v>5</v>
      </c>
      <c r="I36" s="486" t="e">
        <f>#REF!/3</f>
        <v>#REF!</v>
      </c>
    </row>
    <row r="37" spans="1:9" ht="15.75">
      <c r="A37" s="488" t="s">
        <v>191</v>
      </c>
      <c r="B37" s="233">
        <f>'GABARITO DIGITAÇÃO'!C189</f>
        <v>65</v>
      </c>
      <c r="C37" s="233">
        <f>'GABARITO DIGITAÇÃO'!D189</f>
        <v>20</v>
      </c>
      <c r="D37" s="233">
        <v>1.5</v>
      </c>
      <c r="E37" s="233">
        <v>0.15</v>
      </c>
      <c r="F37" s="233">
        <f>'GABARITO DIGITAÇÃO'!E189</f>
        <v>106</v>
      </c>
      <c r="G37" s="407">
        <f>(F37/((E$34-E37)^2))*0.00876*$F$6</f>
        <v>1.7992858131487892</v>
      </c>
      <c r="H37" s="233">
        <f>'GABARITO DIGITAÇÃO'!F189</f>
        <v>3</v>
      </c>
      <c r="I37" s="486" t="e">
        <f>#REF!/3</f>
        <v>#REF!</v>
      </c>
    </row>
    <row r="38" spans="1:9" ht="15.75">
      <c r="A38" s="486"/>
      <c r="B38" s="486"/>
      <c r="C38" s="486"/>
      <c r="D38" s="486"/>
      <c r="E38" s="486"/>
      <c r="F38" s="486"/>
      <c r="G38" s="486"/>
      <c r="H38" s="486"/>
      <c r="I38" s="486"/>
    </row>
    <row r="39" spans="1:9" ht="15.75">
      <c r="A39" s="881" t="s">
        <v>621</v>
      </c>
      <c r="B39" s="881"/>
      <c r="C39" s="881"/>
      <c r="D39" s="881"/>
      <c r="E39" s="881"/>
      <c r="F39" s="881"/>
      <c r="G39" s="881"/>
      <c r="H39" s="881"/>
      <c r="I39" s="486"/>
    </row>
    <row r="40" spans="1:9" ht="15.75">
      <c r="A40" s="505" t="s">
        <v>242</v>
      </c>
      <c r="B40" s="881"/>
      <c r="C40" s="505"/>
      <c r="D40" s="881" t="s">
        <v>196</v>
      </c>
      <c r="E40" s="511">
        <v>1</v>
      </c>
      <c r="F40" s="511" t="s">
        <v>241</v>
      </c>
      <c r="G40" s="881"/>
      <c r="H40" s="881"/>
      <c r="I40" s="486"/>
    </row>
    <row r="41" spans="1:9" ht="46.5" customHeight="1">
      <c r="A41" s="513" t="s">
        <v>567</v>
      </c>
      <c r="B41" s="883" t="s">
        <v>194</v>
      </c>
      <c r="C41" s="883" t="s">
        <v>2</v>
      </c>
      <c r="D41" s="883" t="s">
        <v>80</v>
      </c>
      <c r="E41" s="883" t="s">
        <v>559</v>
      </c>
      <c r="F41" s="513" t="s">
        <v>565</v>
      </c>
      <c r="G41" s="513" t="s">
        <v>566</v>
      </c>
      <c r="H41" s="513" t="s">
        <v>564</v>
      </c>
      <c r="I41" s="486"/>
    </row>
    <row r="42" spans="1:9" ht="15.75">
      <c r="A42" s="882" t="s">
        <v>190</v>
      </c>
      <c r="B42" s="233">
        <f>'GABARITO DIGITAÇÃO'!C190</f>
        <v>0</v>
      </c>
      <c r="C42" s="233">
        <f>'GABARITO DIGITAÇÃO'!D190</f>
        <v>0</v>
      </c>
      <c r="D42" s="233">
        <v>2</v>
      </c>
      <c r="E42" s="233">
        <v>0.23</v>
      </c>
      <c r="F42" s="233">
        <f>'GABARITO DIGITAÇÃO'!E190</f>
        <v>0</v>
      </c>
      <c r="G42" s="233">
        <f>(F42/((E$40-E42)^2))*0.00876*$F$6</f>
        <v>0</v>
      </c>
      <c r="H42" s="233">
        <f>'GABARITO DIGITAÇÃO'!F190</f>
        <v>10</v>
      </c>
      <c r="I42" s="486"/>
    </row>
    <row r="43" spans="1:9" ht="15.75">
      <c r="A43" s="881"/>
      <c r="B43" s="881"/>
      <c r="C43" s="881"/>
      <c r="D43" s="881"/>
      <c r="E43" s="881"/>
      <c r="F43" s="881"/>
      <c r="G43" s="881"/>
      <c r="H43" s="881"/>
      <c r="I43" s="486"/>
    </row>
    <row r="44" spans="1:9" ht="15.75">
      <c r="A44" s="881" t="s">
        <v>620</v>
      </c>
      <c r="B44" s="881"/>
      <c r="C44" s="881"/>
      <c r="D44" s="881"/>
      <c r="E44" s="881"/>
      <c r="F44" s="881"/>
      <c r="G44" s="881"/>
      <c r="H44" s="881"/>
      <c r="I44" s="486"/>
    </row>
    <row r="45" spans="1:9" ht="15.75">
      <c r="A45" s="505" t="s">
        <v>240</v>
      </c>
      <c r="B45" s="881"/>
      <c r="C45" s="505"/>
      <c r="D45" s="881"/>
      <c r="E45" s="511">
        <v>1</v>
      </c>
      <c r="F45" s="511" t="s">
        <v>241</v>
      </c>
      <c r="G45" s="881"/>
      <c r="H45" s="881"/>
    </row>
    <row r="46" spans="1:9" ht="15.75">
      <c r="A46" s="881"/>
      <c r="B46" s="881"/>
      <c r="C46" s="881"/>
      <c r="D46" s="881"/>
      <c r="E46" s="881"/>
      <c r="F46" s="881"/>
      <c r="G46" s="881"/>
      <c r="H46" s="881"/>
    </row>
    <row r="47" spans="1:9" ht="15">
      <c r="A47" s="882" t="s">
        <v>190</v>
      </c>
      <c r="B47" s="233">
        <f>'GABARITO DIGITAÇÃO'!C191</f>
        <v>0</v>
      </c>
      <c r="C47" s="233">
        <f>'GABARITO DIGITAÇÃO'!D191</f>
        <v>0</v>
      </c>
      <c r="D47" s="233">
        <v>3.2</v>
      </c>
      <c r="E47" s="233">
        <v>0.23</v>
      </c>
      <c r="F47" s="233">
        <f>'GABARITO DIGITAÇÃO'!E191</f>
        <v>0</v>
      </c>
      <c r="G47" s="233">
        <f>(F47/((E$45-E47)^2))*0.00876*$F$6</f>
        <v>0</v>
      </c>
      <c r="H47" s="233">
        <f>'GABARITO DIGITAÇÃO'!F191</f>
        <v>0.4</v>
      </c>
    </row>
  </sheetData>
  <mergeCells count="1">
    <mergeCell ref="A1:J1"/>
  </mergeCells>
  <phoneticPr fontId="21" type="noConversion"/>
  <printOptions horizontalCentered="1"/>
  <pageMargins left="0.78740157480314965" right="0.78740157480314965" top="1.7716535433070868" bottom="0.98425196850393704" header="0.51181102362204722" footer="0.51181102362204722"/>
  <pageSetup orientation="portrait" r:id="rId1"/>
  <headerFooter alignWithMargins="0">
    <oddFooter>&amp;L&amp;8
&amp;F &amp;C7</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U63"/>
  <sheetViews>
    <sheetView view="pageBreakPreview" topLeftCell="A16" zoomScale="90" zoomScaleNormal="75" zoomScaleSheetLayoutView="90" workbookViewId="0">
      <selection activeCell="B42" sqref="B42"/>
    </sheetView>
  </sheetViews>
  <sheetFormatPr defaultRowHeight="12.75"/>
  <cols>
    <col min="1" max="1" width="19.42578125" style="315" customWidth="1"/>
    <col min="2" max="2" width="10.28515625" style="315" customWidth="1"/>
    <col min="3" max="3" width="11.42578125" style="315" customWidth="1"/>
    <col min="4" max="4" width="11.28515625" style="315" customWidth="1"/>
    <col min="5" max="5" width="10.140625" style="315" customWidth="1"/>
    <col min="6" max="6" width="11" style="315" customWidth="1"/>
    <col min="7" max="7" width="8" style="315" customWidth="1"/>
    <col min="8" max="8" width="10.28515625" style="315" customWidth="1"/>
    <col min="9" max="9" width="7" style="315" customWidth="1"/>
    <col min="10" max="10" width="11.42578125" style="315" customWidth="1"/>
    <col min="11" max="11" width="10.140625" style="315" customWidth="1"/>
    <col min="12" max="16384" width="9.140625" style="315"/>
  </cols>
  <sheetData>
    <row r="1" spans="1:19" ht="18">
      <c r="A1" s="1117" t="s">
        <v>134</v>
      </c>
      <c r="B1" s="1117"/>
      <c r="C1" s="1117"/>
      <c r="D1" s="1117"/>
      <c r="E1" s="1117"/>
      <c r="F1" s="1117"/>
      <c r="G1" s="1117"/>
      <c r="H1" s="1117"/>
      <c r="I1" s="1117"/>
      <c r="J1" s="1117"/>
      <c r="K1" s="1117"/>
      <c r="L1" s="346"/>
      <c r="M1" s="346"/>
      <c r="N1" s="346"/>
    </row>
    <row r="2" spans="1:19" ht="18">
      <c r="A2" s="347"/>
      <c r="B2" s="347"/>
      <c r="C2" s="347"/>
      <c r="D2" s="347"/>
      <c r="E2" s="347"/>
      <c r="F2" s="347"/>
      <c r="G2" s="347"/>
      <c r="H2" s="347"/>
      <c r="I2" s="347"/>
      <c r="J2" s="346"/>
      <c r="K2" s="346"/>
      <c r="L2" s="346"/>
      <c r="M2" s="346"/>
      <c r="N2" s="346"/>
    </row>
    <row r="3" spans="1:19" ht="15">
      <c r="A3" s="346"/>
      <c r="B3" s="346"/>
      <c r="C3" s="346"/>
      <c r="D3" s="346"/>
      <c r="E3" s="346"/>
      <c r="F3" s="316"/>
      <c r="G3" s="316"/>
      <c r="H3" s="316"/>
      <c r="I3" s="316"/>
      <c r="J3" s="316"/>
      <c r="K3" s="316"/>
      <c r="L3" s="316"/>
      <c r="M3" s="346"/>
      <c r="N3" s="346"/>
    </row>
    <row r="4" spans="1:19" ht="18">
      <c r="A4" s="317" t="s">
        <v>650</v>
      </c>
      <c r="B4" s="346"/>
      <c r="C4" s="346"/>
      <c r="D4" s="346"/>
      <c r="E4" s="346"/>
      <c r="F4" s="316"/>
      <c r="G4" s="316"/>
      <c r="H4" s="316"/>
      <c r="I4" s="316"/>
      <c r="J4" s="316"/>
      <c r="K4" s="348"/>
      <c r="L4" s="348"/>
      <c r="M4" s="348"/>
      <c r="R4" s="345"/>
      <c r="S4" s="345"/>
    </row>
    <row r="5" spans="1:19" ht="18.75" thickBot="1">
      <c r="A5" s="317"/>
      <c r="B5" s="346"/>
      <c r="C5" s="346"/>
      <c r="D5" s="346"/>
      <c r="E5" s="346"/>
      <c r="F5" s="316"/>
      <c r="G5" s="316"/>
      <c r="H5" s="1114"/>
      <c r="I5" s="1114"/>
      <c r="J5" s="1114"/>
      <c r="K5" s="1114"/>
      <c r="L5" s="349"/>
      <c r="M5" s="349"/>
      <c r="N5" s="1100" t="s">
        <v>570</v>
      </c>
      <c r="O5" s="1100"/>
      <c r="P5" s="1100" t="s">
        <v>571</v>
      </c>
      <c r="Q5" s="1100"/>
      <c r="R5" s="318"/>
      <c r="S5" s="318"/>
    </row>
    <row r="6" spans="1:19" ht="18">
      <c r="A6" s="519" t="s">
        <v>572</v>
      </c>
      <c r="B6" s="1100" t="s">
        <v>593</v>
      </c>
      <c r="C6" s="1100"/>
      <c r="D6" s="1115" t="str">
        <f>CONCATENATE("Ref. ",YEAR(Capa!C4)-1)</f>
        <v>Ref. 2017</v>
      </c>
      <c r="E6" s="1116"/>
      <c r="F6" s="325"/>
      <c r="G6" s="487"/>
      <c r="H6" s="1100" t="s">
        <v>571</v>
      </c>
      <c r="I6" s="1100"/>
      <c r="J6" s="1115" t="str">
        <f>CONCATENATE("Ref. ",YEAR(Capa!C4)-1)</f>
        <v>Ref. 2017</v>
      </c>
      <c r="K6" s="1116"/>
      <c r="L6" s="793"/>
      <c r="M6" s="493"/>
      <c r="N6" s="1096" t="s">
        <v>470</v>
      </c>
      <c r="O6" s="1097"/>
      <c r="P6" s="1096" t="s">
        <v>470</v>
      </c>
      <c r="Q6" s="1097"/>
      <c r="R6" s="318"/>
      <c r="S6" s="318"/>
    </row>
    <row r="7" spans="1:19" ht="15">
      <c r="A7" s="393" t="s">
        <v>481</v>
      </c>
      <c r="B7" s="320" t="s">
        <v>1</v>
      </c>
      <c r="C7" s="461" t="s">
        <v>189</v>
      </c>
      <c r="D7" s="600" t="s">
        <v>1</v>
      </c>
      <c r="E7" s="601" t="s">
        <v>189</v>
      </c>
      <c r="G7" s="801"/>
      <c r="H7" s="520" t="s">
        <v>1</v>
      </c>
      <c r="I7" s="461" t="s">
        <v>189</v>
      </c>
      <c r="J7" s="602" t="s">
        <v>1</v>
      </c>
      <c r="K7" s="600" t="s">
        <v>189</v>
      </c>
      <c r="L7" s="346"/>
      <c r="M7" s="346"/>
      <c r="N7" s="351" t="s">
        <v>194</v>
      </c>
      <c r="O7" s="352" t="s">
        <v>189</v>
      </c>
      <c r="P7" s="351" t="s">
        <v>194</v>
      </c>
      <c r="Q7" s="352" t="s">
        <v>189</v>
      </c>
      <c r="R7" s="316"/>
      <c r="S7" s="316"/>
    </row>
    <row r="8" spans="1:19" ht="15">
      <c r="A8" s="393" t="s">
        <v>482</v>
      </c>
      <c r="B8" s="322">
        <f>'GABARITO DIGITAÇÃO'!B197</f>
        <v>0</v>
      </c>
      <c r="C8" s="524">
        <f>'GABARITO DIGITAÇÃO'!C197</f>
        <v>0</v>
      </c>
      <c r="D8" s="523">
        <f>'GABARITO DIGITAÇÃO'!B202</f>
        <v>0</v>
      </c>
      <c r="E8" s="522">
        <f>'GABARITO DIGITAÇÃO'!C202</f>
        <v>0</v>
      </c>
      <c r="G8" s="801"/>
      <c r="H8" s="525">
        <f>'GABARITO DIGITAÇÃO'!D197</f>
        <v>0</v>
      </c>
      <c r="I8" s="524">
        <f>'GABARITO DIGITAÇÃO'!E197</f>
        <v>0</v>
      </c>
      <c r="J8" s="521">
        <f>'GABARITO DIGITAÇÃO'!D202</f>
        <v>0</v>
      </c>
      <c r="K8" s="521">
        <f>'GABARITO DIGITAÇÃO'!E202</f>
        <v>0</v>
      </c>
      <c r="N8" s="353" t="e">
        <f t="shared" ref="N8:O10" si="0">ABS(100*(D8-B8)/D8)</f>
        <v>#DIV/0!</v>
      </c>
      <c r="O8" s="354" t="e">
        <f t="shared" si="0"/>
        <v>#DIV/0!</v>
      </c>
      <c r="P8" s="353" t="e">
        <f t="shared" ref="P8:Q10" si="1">ABS(100*(J8-H8)/J8)</f>
        <v>#DIV/0!</v>
      </c>
      <c r="Q8" s="354" t="e">
        <f t="shared" si="1"/>
        <v>#DIV/0!</v>
      </c>
    </row>
    <row r="9" spans="1:19" ht="15">
      <c r="A9" s="393" t="s">
        <v>483</v>
      </c>
      <c r="B9" s="322">
        <f>'GABARITO DIGITAÇÃO'!B198</f>
        <v>0</v>
      </c>
      <c r="C9" s="524">
        <f>'GABARITO DIGITAÇÃO'!C198</f>
        <v>0</v>
      </c>
      <c r="D9" s="523">
        <f>'GABARITO DIGITAÇÃO'!B203</f>
        <v>0</v>
      </c>
      <c r="E9" s="522">
        <f>'GABARITO DIGITAÇÃO'!C203</f>
        <v>0</v>
      </c>
      <c r="G9" s="801"/>
      <c r="H9" s="525">
        <f>'GABARITO DIGITAÇÃO'!D198</f>
        <v>0</v>
      </c>
      <c r="I9" s="524">
        <f>'GABARITO DIGITAÇÃO'!E198</f>
        <v>0</v>
      </c>
      <c r="J9" s="521">
        <f>'GABARITO DIGITAÇÃO'!D203</f>
        <v>0</v>
      </c>
      <c r="K9" s="521">
        <f>'GABARITO DIGITAÇÃO'!E203</f>
        <v>0</v>
      </c>
      <c r="N9" s="353" t="e">
        <f t="shared" si="0"/>
        <v>#DIV/0!</v>
      </c>
      <c r="O9" s="354" t="e">
        <f t="shared" si="0"/>
        <v>#DIV/0!</v>
      </c>
      <c r="P9" s="353" t="e">
        <f t="shared" si="1"/>
        <v>#DIV/0!</v>
      </c>
      <c r="Q9" s="354" t="e">
        <f t="shared" si="1"/>
        <v>#DIV/0!</v>
      </c>
    </row>
    <row r="10" spans="1:19" ht="15.75" thickBot="1">
      <c r="A10" s="393" t="s">
        <v>484</v>
      </c>
      <c r="B10" s="322">
        <f>'GABARITO DIGITAÇÃO'!B199</f>
        <v>0</v>
      </c>
      <c r="C10" s="524">
        <f>'GABARITO DIGITAÇÃO'!C199</f>
        <v>0</v>
      </c>
      <c r="D10" s="523">
        <f>'GABARITO DIGITAÇÃO'!B204</f>
        <v>0</v>
      </c>
      <c r="E10" s="522">
        <f>'GABARITO DIGITAÇÃO'!C204</f>
        <v>0</v>
      </c>
      <c r="G10" s="801"/>
      <c r="H10" s="525">
        <f>'GABARITO DIGITAÇÃO'!D199</f>
        <v>0</v>
      </c>
      <c r="I10" s="524">
        <f>'GABARITO DIGITAÇÃO'!E199</f>
        <v>0</v>
      </c>
      <c r="J10" s="521">
        <f>'GABARITO DIGITAÇÃO'!D204</f>
        <v>0</v>
      </c>
      <c r="K10" s="521">
        <f>'GABARITO DIGITAÇÃO'!E204</f>
        <v>0</v>
      </c>
      <c r="N10" s="355" t="e">
        <f t="shared" si="0"/>
        <v>#DIV/0!</v>
      </c>
      <c r="O10" s="356" t="e">
        <f t="shared" si="0"/>
        <v>#DIV/0!</v>
      </c>
      <c r="P10" s="355" t="e">
        <f t="shared" si="1"/>
        <v>#DIV/0!</v>
      </c>
      <c r="Q10" s="356" t="e">
        <f t="shared" si="1"/>
        <v>#DIV/0!</v>
      </c>
    </row>
    <row r="11" spans="1:19" ht="15">
      <c r="G11" s="316"/>
      <c r="H11" s="316"/>
      <c r="I11" s="316"/>
      <c r="J11" s="316"/>
      <c r="N11" s="1098" t="s">
        <v>45</v>
      </c>
      <c r="O11" s="1099"/>
      <c r="P11" s="1098" t="s">
        <v>45</v>
      </c>
      <c r="Q11" s="1099"/>
    </row>
    <row r="12" spans="1:19" ht="16.5" thickBot="1">
      <c r="A12" s="317" t="s">
        <v>651</v>
      </c>
      <c r="B12" s="316"/>
      <c r="C12" s="316"/>
      <c r="D12" s="316"/>
      <c r="E12" s="316"/>
      <c r="F12" s="316"/>
      <c r="G12" s="316"/>
      <c r="H12" s="316"/>
      <c r="I12" s="316"/>
      <c r="J12" s="316"/>
      <c r="N12" s="1093" t="e">
        <f>IF(D8="","Valor de referência",IF(LARGE(N8:N10,1)&gt;15,"Verificar",IF(LARGE(O8:O10,1)&gt;25,"Verificar","Satisfatório")))</f>
        <v>#DIV/0!</v>
      </c>
      <c r="O12" s="1094"/>
      <c r="P12" s="1093" t="e">
        <f>IF(J8="","Valor de referência",IF(LARGE(P8:P10,1)&gt;15,"Verificar",IF(LARGE(Q8:Q10,1)&gt;25,"Verificar","Satisfatório")))</f>
        <v>#DIV/0!</v>
      </c>
      <c r="Q12" s="1094"/>
    </row>
    <row r="13" spans="1:19" ht="15.75">
      <c r="B13" s="316"/>
      <c r="C13" s="316"/>
      <c r="H13" s="1108" t="s">
        <v>578</v>
      </c>
      <c r="I13" s="1109"/>
      <c r="J13" s="1109"/>
      <c r="K13" s="1110"/>
    </row>
    <row r="14" spans="1:19" ht="15.75">
      <c r="A14" s="1101" t="s">
        <v>433</v>
      </c>
      <c r="B14" s="1101"/>
      <c r="D14" s="393" t="s">
        <v>582</v>
      </c>
      <c r="F14" s="494" t="str">
        <f>D6</f>
        <v>Ref. 2017</v>
      </c>
      <c r="H14" s="1120" t="s">
        <v>434</v>
      </c>
      <c r="I14" s="1121"/>
      <c r="J14" s="1118" t="s">
        <v>435</v>
      </c>
      <c r="K14" s="1119"/>
    </row>
    <row r="15" spans="1:19" ht="18">
      <c r="A15" s="464">
        <f>'GABARITO DIGITAÇÃO'!A208</f>
        <v>0</v>
      </c>
      <c r="B15" s="323" t="s">
        <v>44</v>
      </c>
      <c r="D15" s="464">
        <f>'GABARITO DIGITAÇÃO'!B211</f>
        <v>0</v>
      </c>
      <c r="F15" s="597">
        <f>'GABARITO DIGITAÇÃO'!C211</f>
        <v>0</v>
      </c>
      <c r="H15" s="1095" t="s">
        <v>489</v>
      </c>
      <c r="I15" s="1095"/>
      <c r="J15" s="1106">
        <v>3</v>
      </c>
      <c r="K15" s="1107"/>
    </row>
    <row r="16" spans="1:19" ht="15">
      <c r="H16" s="1095" t="s">
        <v>436</v>
      </c>
      <c r="I16" s="1095"/>
      <c r="J16" s="1106">
        <v>4</v>
      </c>
      <c r="K16" s="1107"/>
    </row>
    <row r="17" spans="1:20" ht="15.75">
      <c r="A17" s="317" t="s">
        <v>652</v>
      </c>
    </row>
    <row r="19" spans="1:20" ht="15">
      <c r="A19" s="1101" t="s">
        <v>433</v>
      </c>
      <c r="B19" s="1101"/>
      <c r="E19" s="316"/>
    </row>
    <row r="20" spans="1:20" ht="18">
      <c r="A20" s="389">
        <f>A15</f>
        <v>0</v>
      </c>
      <c r="B20" s="323" t="s">
        <v>44</v>
      </c>
      <c r="E20" s="316"/>
      <c r="H20" s="1108" t="s">
        <v>578</v>
      </c>
      <c r="I20" s="1109"/>
      <c r="J20" s="1109"/>
      <c r="K20" s="1110"/>
    </row>
    <row r="21" spans="1:20" ht="15.75">
      <c r="F21" s="494" t="str">
        <f>D6</f>
        <v>Ref. 2017</v>
      </c>
      <c r="H21" s="1111" t="s">
        <v>434</v>
      </c>
      <c r="I21" s="1112"/>
      <c r="J21" s="1112" t="s">
        <v>437</v>
      </c>
      <c r="K21" s="1113"/>
      <c r="O21" s="325"/>
    </row>
    <row r="22" spans="1:20" ht="18">
      <c r="A22" s="319" t="s">
        <v>478</v>
      </c>
      <c r="B22" s="316"/>
      <c r="C22" s="316"/>
      <c r="D22" s="464">
        <f>'GABARITO DIGITAÇÃO'!B216</f>
        <v>0</v>
      </c>
      <c r="F22" s="597">
        <f>'GABARITO DIGITAÇÃO'!C216</f>
        <v>0</v>
      </c>
      <c r="G22" s="325"/>
      <c r="H22" s="1079" t="s">
        <v>489</v>
      </c>
      <c r="I22" s="1080"/>
      <c r="J22" s="385" t="s">
        <v>438</v>
      </c>
      <c r="K22" s="386" t="s">
        <v>439</v>
      </c>
    </row>
    <row r="23" spans="1:20" ht="18">
      <c r="A23" s="319" t="s">
        <v>479</v>
      </c>
      <c r="B23" s="316"/>
      <c r="C23" s="316"/>
      <c r="D23" s="464">
        <f>'GABARITO DIGITAÇÃO'!B217</f>
        <v>0</v>
      </c>
      <c r="F23" s="597">
        <f>'GABARITO DIGITAÇÃO'!C217</f>
        <v>0</v>
      </c>
      <c r="G23" s="325"/>
      <c r="H23" s="1111" t="s">
        <v>436</v>
      </c>
      <c r="I23" s="1113"/>
      <c r="J23" s="387" t="s">
        <v>440</v>
      </c>
      <c r="K23" s="388" t="s">
        <v>441</v>
      </c>
    </row>
    <row r="24" spans="1:20" ht="15">
      <c r="A24" s="326"/>
      <c r="B24" s="326"/>
      <c r="C24" s="326"/>
      <c r="D24" s="326"/>
      <c r="E24" s="326"/>
      <c r="F24" s="326"/>
      <c r="G24" s="327"/>
      <c r="H24" s="328"/>
      <c r="I24" s="326"/>
      <c r="J24" s="375"/>
    </row>
    <row r="25" spans="1:20" ht="15.75">
      <c r="A25" s="317" t="s">
        <v>653</v>
      </c>
      <c r="B25" s="316"/>
      <c r="C25" s="316"/>
      <c r="D25" s="316"/>
      <c r="E25" s="316"/>
      <c r="F25" s="316"/>
      <c r="G25" s="316"/>
      <c r="H25" s="316"/>
      <c r="I25" s="316"/>
    </row>
    <row r="26" spans="1:20" ht="16.5" customHeight="1" thickBot="1">
      <c r="A26" s="1122" t="s">
        <v>579</v>
      </c>
      <c r="B26" s="498" t="s">
        <v>442</v>
      </c>
      <c r="C26" s="498" t="s">
        <v>443</v>
      </c>
      <c r="D26" s="498" t="s">
        <v>444</v>
      </c>
      <c r="F26" s="487"/>
      <c r="G26" s="487"/>
      <c r="H26" s="528"/>
      <c r="I26" s="457"/>
    </row>
    <row r="27" spans="1:20" ht="17.25" customHeight="1" thickBot="1">
      <c r="A27" s="1122"/>
      <c r="B27" s="329">
        <f>'GABARITO DIGITAÇÃO'!A222</f>
        <v>0</v>
      </c>
      <c r="C27" s="321">
        <f>'GABARITO DIGITAÇÃO'!B222</f>
        <v>0</v>
      </c>
      <c r="D27" s="322">
        <f>'GABARITO DIGITAÇÃO'!C222</f>
        <v>0</v>
      </c>
      <c r="F27" s="330">
        <f>B27*1000*0.00876</f>
        <v>0</v>
      </c>
      <c r="G27" s="527" t="s">
        <v>445</v>
      </c>
      <c r="H27" s="529"/>
      <c r="I27" s="457"/>
      <c r="J27" s="1102" t="s">
        <v>577</v>
      </c>
      <c r="K27" s="1103"/>
      <c r="M27"/>
      <c r="N27"/>
      <c r="O27" s="316"/>
      <c r="P27" s="316"/>
      <c r="Q27" s="316"/>
      <c r="R27" s="316"/>
    </row>
    <row r="28" spans="1:20" ht="16.5" customHeight="1" thickBot="1">
      <c r="A28" s="539"/>
      <c r="B28" s="604"/>
      <c r="C28" s="604"/>
      <c r="D28" s="498"/>
      <c r="F28" s="487"/>
      <c r="G28" s="457"/>
      <c r="H28" s="530"/>
      <c r="I28" s="457"/>
      <c r="J28" s="1104"/>
      <c r="K28" s="1105"/>
      <c r="M28"/>
      <c r="N28"/>
      <c r="O28" s="319"/>
      <c r="P28" s="319"/>
      <c r="Q28" s="316"/>
      <c r="R28" s="319"/>
      <c r="S28" s="543"/>
      <c r="T28" s="316"/>
    </row>
    <row r="29" spans="1:20" ht="18" customHeight="1">
      <c r="A29" s="1123" t="str">
        <f>D6</f>
        <v>Ref. 2017</v>
      </c>
      <c r="B29" s="605" t="s">
        <v>442</v>
      </c>
      <c r="C29" s="468" t="s">
        <v>443</v>
      </c>
      <c r="D29" s="468" t="s">
        <v>444</v>
      </c>
      <c r="E29" s="467"/>
      <c r="F29" s="468"/>
      <c r="G29" s="468"/>
      <c r="H29" s="540"/>
      <c r="I29"/>
      <c r="J29" s="608" t="s">
        <v>584</v>
      </c>
      <c r="K29" s="609">
        <v>50</v>
      </c>
      <c r="M29"/>
      <c r="N29"/>
      <c r="O29" s="319"/>
      <c r="P29" s="319"/>
      <c r="Q29" s="316"/>
      <c r="R29" s="319"/>
      <c r="S29" s="543"/>
      <c r="T29" s="316"/>
    </row>
    <row r="30" spans="1:20" ht="18.75" customHeight="1" thickBot="1">
      <c r="A30" s="1124"/>
      <c r="B30" s="471">
        <f>'GABARITO DIGITAÇÃO'!A225</f>
        <v>0</v>
      </c>
      <c r="C30" s="594">
        <f>'GABARITO DIGITAÇÃO'!B225</f>
        <v>0</v>
      </c>
      <c r="D30" s="593">
        <f>'GABARITO DIGITAÇÃO'!C225</f>
        <v>0</v>
      </c>
      <c r="E30" s="469"/>
      <c r="F30" s="470">
        <f>B30*1000*0.00876</f>
        <v>0</v>
      </c>
      <c r="G30" s="526" t="s">
        <v>445</v>
      </c>
      <c r="H30" s="541"/>
      <c r="I30"/>
      <c r="J30" s="606" t="s">
        <v>583</v>
      </c>
      <c r="K30" s="607">
        <v>87</v>
      </c>
      <c r="M30"/>
      <c r="N30"/>
      <c r="O30" s="319"/>
      <c r="P30" s="319"/>
      <c r="Q30" s="316"/>
      <c r="R30" s="319"/>
      <c r="S30" s="543"/>
      <c r="T30" s="316"/>
    </row>
    <row r="31" spans="1:20" ht="15.75">
      <c r="A31" s="317"/>
      <c r="B31" s="531"/>
      <c r="C31" s="532"/>
      <c r="D31" s="533"/>
      <c r="E31" s="534"/>
      <c r="F31" s="535"/>
      <c r="G31" s="536"/>
      <c r="H31" s="532"/>
      <c r="I31" s="537"/>
      <c r="J31" s="537"/>
      <c r="M31"/>
      <c r="N31"/>
    </row>
    <row r="32" spans="1:20" ht="16.5" customHeight="1" thickBot="1">
      <c r="A32" s="1122" t="s">
        <v>573</v>
      </c>
      <c r="B32" s="498" t="s">
        <v>442</v>
      </c>
      <c r="C32" s="498" t="s">
        <v>443</v>
      </c>
      <c r="D32" s="498" t="s">
        <v>444</v>
      </c>
      <c r="F32" s="454"/>
      <c r="G32" s="454"/>
      <c r="H32" s="528"/>
      <c r="I32" s="457"/>
    </row>
    <row r="33" spans="1:21" ht="16.5" customHeight="1" thickBot="1">
      <c r="A33" s="1122"/>
      <c r="B33" s="329">
        <f>'GABARITO DIGITAÇÃO'!A229</f>
        <v>0</v>
      </c>
      <c r="C33" s="321">
        <f>'GABARITO DIGITAÇÃO'!B229</f>
        <v>0</v>
      </c>
      <c r="D33" s="322">
        <f>'GABARITO DIGITAÇÃO'!C229</f>
        <v>0</v>
      </c>
      <c r="F33" s="330">
        <f>B33*1000*0.00876</f>
        <v>0</v>
      </c>
      <c r="G33" s="527" t="s">
        <v>445</v>
      </c>
      <c r="H33" s="457"/>
      <c r="I33" s="538"/>
    </row>
    <row r="34" spans="1:21" ht="15.75" customHeight="1" thickBot="1">
      <c r="A34" s="539"/>
      <c r="B34" s="604"/>
      <c r="C34" s="604"/>
      <c r="D34" s="498"/>
      <c r="F34" s="454"/>
      <c r="G34" s="457"/>
      <c r="H34" s="530"/>
      <c r="I34"/>
      <c r="J34" s="1102" t="s">
        <v>469</v>
      </c>
      <c r="K34" s="1103"/>
      <c r="P34"/>
    </row>
    <row r="35" spans="1:21" ht="15.75" customHeight="1">
      <c r="A35" s="1123" t="str">
        <f>D6</f>
        <v>Ref. 2017</v>
      </c>
      <c r="B35" s="605" t="s">
        <v>442</v>
      </c>
      <c r="C35" s="468" t="s">
        <v>443</v>
      </c>
      <c r="D35" s="468" t="s">
        <v>444</v>
      </c>
      <c r="E35" s="467"/>
      <c r="F35" s="468"/>
      <c r="G35" s="468"/>
      <c r="H35" s="540"/>
      <c r="I35"/>
      <c r="J35" s="1104"/>
      <c r="K35" s="1105"/>
      <c r="P35"/>
    </row>
    <row r="36" spans="1:21" ht="19.5" customHeight="1" thickBot="1">
      <c r="A36" s="1124"/>
      <c r="B36" s="591">
        <f>'GABARITO DIGITAÇÃO'!A232</f>
        <v>0</v>
      </c>
      <c r="C36" s="596">
        <f>'GABARITO DIGITAÇÃO'!B232</f>
        <v>0</v>
      </c>
      <c r="D36" s="595">
        <f>'GABARITO DIGITAÇÃO'!C232</f>
        <v>0</v>
      </c>
      <c r="E36" s="469"/>
      <c r="F36" s="470">
        <f>B36*1000*0.00876</f>
        <v>0</v>
      </c>
      <c r="G36" s="526" t="s">
        <v>445</v>
      </c>
      <c r="H36" s="541"/>
      <c r="I36"/>
      <c r="J36" s="1125" t="s">
        <v>592</v>
      </c>
      <c r="K36" s="1126"/>
      <c r="P36"/>
    </row>
    <row r="37" spans="1:21" ht="42.75" customHeight="1">
      <c r="A37" s="1077" t="s">
        <v>580</v>
      </c>
      <c r="B37" s="1077"/>
      <c r="C37" s="1077"/>
      <c r="D37" s="1077"/>
      <c r="E37" s="1077"/>
      <c r="F37" s="1077"/>
      <c r="G37" s="1077"/>
      <c r="H37" s="1077"/>
      <c r="I37" s="1077"/>
      <c r="J37" s="1077"/>
      <c r="K37" s="1077"/>
    </row>
    <row r="38" spans="1:21" ht="15">
      <c r="J38" s="316"/>
      <c r="K38" s="325"/>
      <c r="L38" s="325"/>
    </row>
    <row r="39" spans="1:21" ht="15.75">
      <c r="A39" s="317" t="s">
        <v>654</v>
      </c>
      <c r="B39" s="316"/>
      <c r="C39" s="316"/>
      <c r="D39" s="316"/>
      <c r="E39" s="316"/>
      <c r="F39" s="316"/>
      <c r="G39" s="316"/>
      <c r="H39" s="316"/>
      <c r="I39" s="316"/>
      <c r="J39" s="316"/>
    </row>
    <row r="40" spans="1:21" ht="16.5" thickBot="1">
      <c r="A40" s="1122" t="s">
        <v>579</v>
      </c>
      <c r="B40" s="458" t="s">
        <v>442</v>
      </c>
      <c r="C40" s="458" t="s">
        <v>443</v>
      </c>
      <c r="D40" s="458" t="s">
        <v>444</v>
      </c>
      <c r="F40" s="487"/>
      <c r="G40" s="487"/>
      <c r="H40" s="528"/>
      <c r="I40" s="487"/>
      <c r="J40" s="487"/>
    </row>
    <row r="41" spans="1:21" ht="16.5" thickBot="1">
      <c r="A41" s="1122"/>
      <c r="B41" s="329">
        <f>'GABARITO DIGITAÇÃO'!A239</f>
        <v>0</v>
      </c>
      <c r="C41" s="321">
        <f>'GABARITO DIGITAÇÃO'!B239</f>
        <v>0</v>
      </c>
      <c r="D41" s="322">
        <f>'GABARITO DIGITAÇÃO'!C239</f>
        <v>0</v>
      </c>
      <c r="F41" s="330">
        <f>B41*1000*0.00876</f>
        <v>0</v>
      </c>
      <c r="G41" s="527" t="s">
        <v>445</v>
      </c>
      <c r="H41" s="529"/>
      <c r="I41" s="487"/>
      <c r="J41" s="487"/>
    </row>
    <row r="42" spans="1:21" ht="17.25" thickBot="1">
      <c r="A42" s="539"/>
      <c r="B42" s="457"/>
      <c r="C42" s="457"/>
      <c r="D42" s="487"/>
      <c r="F42" s="487"/>
      <c r="G42" s="457"/>
      <c r="H42" s="530"/>
      <c r="I42" s="487"/>
      <c r="J42" s="487"/>
    </row>
    <row r="43" spans="1:21" ht="15.75">
      <c r="A43" s="1123" t="str">
        <f>D6</f>
        <v>Ref. 2017</v>
      </c>
      <c r="B43" s="465" t="s">
        <v>442</v>
      </c>
      <c r="C43" s="466" t="s">
        <v>443</v>
      </c>
      <c r="D43" s="466" t="s">
        <v>444</v>
      </c>
      <c r="E43" s="467"/>
      <c r="F43" s="468"/>
      <c r="G43" s="468"/>
      <c r="H43" s="540"/>
      <c r="I43" s="487"/>
      <c r="J43" s="487"/>
    </row>
    <row r="44" spans="1:21" ht="16.5" thickBot="1">
      <c r="A44" s="1124"/>
      <c r="B44" s="591">
        <f>'GABARITO DIGITAÇÃO'!A242</f>
        <v>0</v>
      </c>
      <c r="C44" s="592">
        <f>'GABARITO DIGITAÇÃO'!B242</f>
        <v>0</v>
      </c>
      <c r="D44" s="593">
        <f>'GABARITO DIGITAÇÃO'!C242</f>
        <v>0</v>
      </c>
      <c r="E44" s="469"/>
      <c r="F44" s="470">
        <f>B44*1000*0.00876</f>
        <v>0</v>
      </c>
      <c r="G44" s="526" t="s">
        <v>445</v>
      </c>
      <c r="H44" s="541"/>
      <c r="I44" s="487"/>
      <c r="J44" s="487"/>
    </row>
    <row r="45" spans="1:21" ht="15">
      <c r="I45" s="316"/>
      <c r="R45" s="454"/>
      <c r="S45" s="316"/>
    </row>
    <row r="46" spans="1:21" ht="16.5" thickBot="1">
      <c r="A46" s="1122" t="s">
        <v>573</v>
      </c>
      <c r="B46" s="458" t="s">
        <v>442</v>
      </c>
      <c r="C46" s="458" t="s">
        <v>443</v>
      </c>
      <c r="D46" s="458" t="s">
        <v>444</v>
      </c>
      <c r="E46" s="454"/>
      <c r="F46" s="454"/>
      <c r="G46" s="454"/>
      <c r="I46" s="316"/>
    </row>
    <row r="47" spans="1:21" ht="16.5" thickBot="1">
      <c r="A47" s="1122"/>
      <c r="B47" s="329">
        <f>'GABARITO DIGITAÇÃO'!A246</f>
        <v>0</v>
      </c>
      <c r="C47" s="321">
        <f>'GABARITO DIGITAÇÃO'!B246</f>
        <v>0</v>
      </c>
      <c r="D47" s="322">
        <f>'GABARITO DIGITAÇÃO'!C246</f>
        <v>0</v>
      </c>
      <c r="F47" s="330">
        <f>B47*1000*0.00876</f>
        <v>0</v>
      </c>
      <c r="G47" s="527" t="s">
        <v>445</v>
      </c>
      <c r="H47" s="529"/>
      <c r="I47" s="316"/>
      <c r="L47" s="457"/>
      <c r="M47" s="457"/>
      <c r="N47" s="454"/>
      <c r="O47" s="454"/>
      <c r="P47" s="457"/>
      <c r="Q47" s="454"/>
      <c r="R47" s="457"/>
      <c r="S47" s="316"/>
    </row>
    <row r="48" spans="1:21" ht="16.5" thickBot="1">
      <c r="B48" s="542"/>
      <c r="C48" s="487"/>
      <c r="D48" s="543"/>
      <c r="F48" s="544"/>
      <c r="G48" s="545"/>
      <c r="H48" s="598"/>
      <c r="I48" s="487"/>
      <c r="L48" s="457"/>
      <c r="M48" s="457"/>
      <c r="N48" s="487"/>
      <c r="O48" s="487"/>
      <c r="P48" s="457"/>
      <c r="Q48" s="487"/>
      <c r="R48"/>
      <c r="S48"/>
      <c r="T48"/>
      <c r="U48"/>
    </row>
    <row r="49" spans="1:21" ht="15.75">
      <c r="A49" s="1123" t="str">
        <f>A35</f>
        <v>Ref. 2017</v>
      </c>
      <c r="B49" s="465" t="s">
        <v>442</v>
      </c>
      <c r="C49" s="466" t="s">
        <v>443</v>
      </c>
      <c r="D49" s="466" t="s">
        <v>444</v>
      </c>
      <c r="E49" s="467"/>
      <c r="F49" s="468"/>
      <c r="G49" s="468"/>
      <c r="H49" s="540"/>
      <c r="R49"/>
      <c r="S49"/>
      <c r="T49"/>
      <c r="U49"/>
    </row>
    <row r="50" spans="1:21" ht="16.5" thickBot="1">
      <c r="A50" s="1124"/>
      <c r="B50" s="471">
        <f>'GABARITO DIGITAÇÃO'!A249</f>
        <v>0</v>
      </c>
      <c r="C50" s="594">
        <f>'GABARITO DIGITAÇÃO'!B249</f>
        <v>0</v>
      </c>
      <c r="D50" s="593">
        <f>'GABARITO DIGITAÇÃO'!C249</f>
        <v>0</v>
      </c>
      <c r="E50" s="469"/>
      <c r="F50" s="470">
        <f>B50*1000*0.00876</f>
        <v>0</v>
      </c>
      <c r="G50" s="526" t="s">
        <v>445</v>
      </c>
      <c r="H50" s="541"/>
      <c r="R50"/>
      <c r="S50"/>
      <c r="T50"/>
      <c r="U50"/>
    </row>
    <row r="51" spans="1:21" ht="27" customHeight="1">
      <c r="A51" s="1077" t="s">
        <v>581</v>
      </c>
      <c r="B51" s="1077"/>
      <c r="C51" s="1077"/>
      <c r="D51" s="1077"/>
      <c r="E51" s="1077"/>
      <c r="F51" s="1077"/>
      <c r="G51" s="1077"/>
      <c r="H51" s="1077"/>
      <c r="I51" s="1077"/>
      <c r="J51" s="1077"/>
      <c r="K51" s="1077"/>
      <c r="R51"/>
      <c r="S51"/>
      <c r="T51"/>
      <c r="U51"/>
    </row>
    <row r="52" spans="1:21" ht="15.75" customHeight="1">
      <c r="A52" s="603"/>
      <c r="B52" s="603"/>
      <c r="C52" s="603"/>
      <c r="D52" s="603"/>
      <c r="E52" s="603"/>
      <c r="F52" s="603"/>
      <c r="G52" s="603"/>
      <c r="H52" s="603"/>
      <c r="I52" s="603"/>
      <c r="J52" s="603"/>
      <c r="K52" s="603"/>
      <c r="R52"/>
      <c r="S52"/>
      <c r="T52"/>
      <c r="U52"/>
    </row>
    <row r="53" spans="1:21">
      <c r="A53"/>
      <c r="B53"/>
      <c r="C53"/>
      <c r="D53"/>
      <c r="E53"/>
      <c r="F53"/>
      <c r="G53"/>
      <c r="H53"/>
      <c r="I53"/>
      <c r="J53"/>
      <c r="K53"/>
    </row>
    <row r="54" spans="1:21">
      <c r="A54"/>
      <c r="B54"/>
      <c r="C54"/>
      <c r="D54"/>
      <c r="E54"/>
      <c r="F54"/>
      <c r="G54"/>
      <c r="H54"/>
      <c r="I54"/>
      <c r="J54"/>
      <c r="K54"/>
    </row>
    <row r="55" spans="1:21">
      <c r="A55"/>
      <c r="B55"/>
      <c r="C55"/>
      <c r="D55"/>
      <c r="E55"/>
      <c r="F55"/>
      <c r="G55"/>
      <c r="H55"/>
      <c r="I55"/>
      <c r="J55"/>
      <c r="K55"/>
    </row>
    <row r="56" spans="1:21" ht="24" customHeight="1">
      <c r="A56"/>
      <c r="B56"/>
      <c r="C56"/>
      <c r="D56"/>
      <c r="E56"/>
      <c r="F56"/>
      <c r="G56"/>
      <c r="H56"/>
      <c r="I56"/>
      <c r="J56"/>
      <c r="K56"/>
    </row>
    <row r="57" spans="1:21" ht="20.25" customHeight="1">
      <c r="A57"/>
      <c r="B57"/>
      <c r="C57"/>
      <c r="D57"/>
      <c r="E57"/>
      <c r="F57"/>
      <c r="G57"/>
      <c r="H57"/>
      <c r="I57"/>
      <c r="J57"/>
      <c r="K57"/>
    </row>
    <row r="58" spans="1:21" ht="20.25" customHeight="1">
      <c r="A58"/>
      <c r="B58"/>
      <c r="C58"/>
      <c r="D58"/>
      <c r="E58"/>
      <c r="F58"/>
      <c r="G58"/>
      <c r="H58"/>
      <c r="I58"/>
      <c r="J58"/>
      <c r="K58"/>
    </row>
    <row r="59" spans="1:21" ht="20.25" customHeight="1">
      <c r="A59"/>
      <c r="B59"/>
      <c r="C59"/>
      <c r="D59"/>
      <c r="E59"/>
      <c r="F59"/>
      <c r="G59"/>
      <c r="H59"/>
      <c r="I59"/>
      <c r="J59"/>
      <c r="K59"/>
    </row>
    <row r="60" spans="1:21" ht="20.25" customHeight="1">
      <c r="A60"/>
      <c r="B60"/>
      <c r="C60"/>
      <c r="D60"/>
      <c r="E60"/>
      <c r="F60"/>
      <c r="G60"/>
      <c r="H60"/>
      <c r="I60"/>
      <c r="J60"/>
      <c r="K60"/>
    </row>
    <row r="61" spans="1:21" ht="30.75" customHeight="1">
      <c r="A61"/>
      <c r="B61"/>
      <c r="C61"/>
      <c r="D61"/>
      <c r="E61"/>
      <c r="F61"/>
      <c r="G61"/>
      <c r="H61"/>
      <c r="I61"/>
      <c r="J61"/>
      <c r="K61"/>
      <c r="L61" s="394"/>
    </row>
    <row r="62" spans="1:21" ht="14.25">
      <c r="A62" s="339"/>
      <c r="B62" s="339"/>
      <c r="C62" s="339"/>
      <c r="D62" s="339"/>
      <c r="E62" s="339"/>
      <c r="F62" s="339"/>
      <c r="G62" s="339"/>
      <c r="H62" s="339"/>
      <c r="I62" s="339"/>
      <c r="J62" s="339"/>
    </row>
    <row r="63" spans="1:21" ht="14.25">
      <c r="A63" s="339"/>
      <c r="B63" s="339"/>
      <c r="C63" s="339"/>
      <c r="D63" s="339"/>
      <c r="E63" s="339"/>
      <c r="F63" s="339"/>
      <c r="G63" s="339"/>
      <c r="H63" s="339"/>
      <c r="I63" s="339"/>
      <c r="J63" s="339"/>
    </row>
  </sheetData>
  <mergeCells count="42">
    <mergeCell ref="A51:K51"/>
    <mergeCell ref="A26:A27"/>
    <mergeCell ref="A32:A33"/>
    <mergeCell ref="A35:A36"/>
    <mergeCell ref="H22:I22"/>
    <mergeCell ref="H23:I23"/>
    <mergeCell ref="A40:A41"/>
    <mergeCell ref="A43:A44"/>
    <mergeCell ref="A46:A47"/>
    <mergeCell ref="A49:A50"/>
    <mergeCell ref="J34:K35"/>
    <mergeCell ref="J36:K36"/>
    <mergeCell ref="A37:K37"/>
    <mergeCell ref="A29:A30"/>
    <mergeCell ref="A1:K1"/>
    <mergeCell ref="B6:C6"/>
    <mergeCell ref="H13:K13"/>
    <mergeCell ref="J14:K14"/>
    <mergeCell ref="H14:I14"/>
    <mergeCell ref="D6:E6"/>
    <mergeCell ref="N5:O5"/>
    <mergeCell ref="P5:Q5"/>
    <mergeCell ref="A19:B19"/>
    <mergeCell ref="A14:B14"/>
    <mergeCell ref="J27:K28"/>
    <mergeCell ref="J15:K15"/>
    <mergeCell ref="J16:K16"/>
    <mergeCell ref="H20:K20"/>
    <mergeCell ref="H21:I21"/>
    <mergeCell ref="J21:K21"/>
    <mergeCell ref="H5:I5"/>
    <mergeCell ref="H6:I6"/>
    <mergeCell ref="J5:K5"/>
    <mergeCell ref="J6:K6"/>
    <mergeCell ref="P6:Q6"/>
    <mergeCell ref="P11:Q11"/>
    <mergeCell ref="P12:Q12"/>
    <mergeCell ref="H15:I15"/>
    <mergeCell ref="H16:I16"/>
    <mergeCell ref="N6:O6"/>
    <mergeCell ref="N11:O11"/>
    <mergeCell ref="N12:O12"/>
  </mergeCells>
  <printOptions horizontalCentered="1"/>
  <pageMargins left="0.78740157480314965" right="0.78740157480314965" top="1.23" bottom="0.98425196850393704" header="0.51181102362204722" footer="0.51181102362204722"/>
  <pageSetup scale="74" orientation="portrait" r:id="rId1"/>
  <headerFooter alignWithMargins="0">
    <oddFooter>&amp;L&amp;8&amp;F &amp;C8</oddFooter>
  </headerFooter>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A1:V116"/>
  <sheetViews>
    <sheetView view="pageBreakPreview" topLeftCell="A41" zoomScale="80" zoomScaleNormal="100" zoomScaleSheetLayoutView="80" workbookViewId="0">
      <selection activeCell="G42" sqref="G42"/>
    </sheetView>
  </sheetViews>
  <sheetFormatPr defaultRowHeight="15.75"/>
  <cols>
    <col min="1" max="1" width="4" style="412" customWidth="1"/>
    <col min="2" max="2" width="41" style="2" customWidth="1"/>
    <col min="3" max="3" width="13.28515625" style="2" customWidth="1"/>
    <col min="4" max="4" width="16.42578125" style="2" customWidth="1"/>
    <col min="5" max="5" width="14.85546875" style="2" hidden="1" customWidth="1"/>
    <col min="6" max="6" width="13.42578125" style="86" customWidth="1"/>
    <col min="7" max="7" width="29.42578125" style="2" customWidth="1"/>
    <col min="8" max="8" width="9.140625" style="2"/>
    <col min="9" max="9" width="11" style="2" hidden="1" customWidth="1"/>
    <col min="10" max="14" width="9.140625" style="2" hidden="1" customWidth="1"/>
    <col min="15" max="15" width="11" style="2" hidden="1" customWidth="1"/>
    <col min="16" max="16" width="9.140625" style="2" hidden="1" customWidth="1"/>
    <col min="17" max="17" width="10.5703125" style="2" bestFit="1" customWidth="1"/>
    <col min="18" max="18" width="10.28515625" style="2" bestFit="1" customWidth="1"/>
    <col min="19" max="16384" width="9.140625" style="2"/>
  </cols>
  <sheetData>
    <row r="1" spans="1:18" ht="18">
      <c r="B1" s="1127" t="s">
        <v>180</v>
      </c>
      <c r="C1" s="1127"/>
      <c r="D1" s="1127"/>
      <c r="E1" s="1127"/>
      <c r="F1" s="1127"/>
      <c r="G1" s="1127"/>
      <c r="H1" s="83"/>
      <c r="I1" s="83"/>
      <c r="J1" s="83"/>
    </row>
    <row r="2" spans="1:18">
      <c r="B2" s="6"/>
      <c r="C2" s="6"/>
      <c r="D2" s="6"/>
      <c r="E2" s="6"/>
      <c r="F2" s="103"/>
      <c r="G2" s="6"/>
      <c r="Q2" s="6"/>
      <c r="R2" s="6"/>
    </row>
    <row r="3" spans="1:18" s="6" customFormat="1" ht="16.5" thickBot="1">
      <c r="A3" s="588"/>
      <c r="B3" s="1149" t="s">
        <v>32</v>
      </c>
      <c r="C3" s="1149"/>
      <c r="D3" s="1150"/>
      <c r="E3" s="564"/>
      <c r="F3" s="558" t="s">
        <v>30</v>
      </c>
      <c r="G3" s="564" t="s">
        <v>31</v>
      </c>
    </row>
    <row r="4" spans="1:18" s="6" customFormat="1">
      <c r="A4" s="585" t="s">
        <v>159</v>
      </c>
      <c r="B4" s="912" t="s">
        <v>201</v>
      </c>
      <c r="C4" s="20"/>
      <c r="D4" s="20"/>
      <c r="E4" s="561"/>
      <c r="F4" s="562"/>
      <c r="G4" s="563"/>
      <c r="I4" s="162" t="s">
        <v>22</v>
      </c>
      <c r="J4" s="175"/>
      <c r="K4" s="175">
        <f>IF(Vistorias!G36="",1,0)</f>
        <v>0</v>
      </c>
      <c r="L4" s="175"/>
      <c r="M4" s="175" t="s">
        <v>473</v>
      </c>
      <c r="N4" s="175"/>
      <c r="O4" s="165"/>
    </row>
    <row r="5" spans="1:18" s="6" customFormat="1" ht="16.5" thickBot="1">
      <c r="A5" s="583" t="s">
        <v>223</v>
      </c>
      <c r="B5" s="254" t="s">
        <v>431</v>
      </c>
      <c r="C5" s="122"/>
      <c r="D5" s="122"/>
      <c r="E5" s="123"/>
      <c r="F5" s="124"/>
      <c r="G5" s="210" t="str">
        <f>Vistorias!A31</f>
        <v>Satisfatório</v>
      </c>
      <c r="I5" s="168" t="s">
        <v>472</v>
      </c>
      <c r="J5" s="98"/>
      <c r="K5" s="98">
        <f>IF(Capa!C14="Raios X Telecomandado",1,IF(Capa!C14="Arco Cirúrgico",1,IF(Capa!C14="Arco Cirurgico",1,0)))</f>
        <v>0</v>
      </c>
      <c r="L5" s="98"/>
      <c r="M5" s="98"/>
      <c r="N5" s="98"/>
      <c r="O5" s="171"/>
    </row>
    <row r="6" spans="1:18" s="6" customFormat="1" ht="16.5" thickBot="1">
      <c r="A6" s="577"/>
      <c r="B6" s="554" t="s">
        <v>666</v>
      </c>
      <c r="C6" s="555"/>
      <c r="D6" s="556"/>
      <c r="E6" s="557"/>
      <c r="F6" s="558"/>
      <c r="G6" s="217" t="str">
        <f>Vistorias!F22</f>
        <v>Satisfatório</v>
      </c>
    </row>
    <row r="7" spans="1:18" s="6" customFormat="1" ht="15" hidden="1">
      <c r="A7" s="583" t="s">
        <v>222</v>
      </c>
      <c r="B7" s="305" t="s">
        <v>133</v>
      </c>
      <c r="C7" s="1151" t="s">
        <v>171</v>
      </c>
      <c r="D7" s="1152"/>
      <c r="E7" s="552"/>
      <c r="F7" s="553">
        <f>Vistorias!C41</f>
        <v>0</v>
      </c>
      <c r="G7" s="211" t="str">
        <f>IF(F7&lt;1.6,"Verificar",IF(F7&gt;1.9,"Verificar","Satisfatório"))</f>
        <v>Verificar</v>
      </c>
    </row>
    <row r="8" spans="1:18" s="6" customFormat="1" ht="15" hidden="1">
      <c r="A8" s="583"/>
      <c r="B8" s="305"/>
      <c r="C8" s="306" t="s">
        <v>202</v>
      </c>
      <c r="D8" s="307"/>
      <c r="E8" s="213"/>
      <c r="F8" s="308">
        <f>Vistorias!C44</f>
        <v>0</v>
      </c>
      <c r="G8" s="214" t="str">
        <f>IF(F8&gt;39,"Verificar",IF(F8&lt;33,"Verificar","Satisfatório"))</f>
        <v>Verificar</v>
      </c>
    </row>
    <row r="9" spans="1:18" s="6" customFormat="1" ht="15" hidden="1">
      <c r="A9" s="583"/>
      <c r="B9" s="309" t="s">
        <v>50</v>
      </c>
      <c r="C9" s="869" t="s">
        <v>614</v>
      </c>
      <c r="D9" s="307"/>
      <c r="E9" s="213"/>
      <c r="F9" s="308"/>
      <c r="G9" s="310" t="str">
        <f>Vistorias!A47</f>
        <v>Satisfatório</v>
      </c>
    </row>
    <row r="10" spans="1:18" s="6" customFormat="1" hidden="1" thickBot="1">
      <c r="A10" s="577" t="s">
        <v>221</v>
      </c>
      <c r="B10" s="554" t="s">
        <v>219</v>
      </c>
      <c r="C10" s="559" t="s">
        <v>220</v>
      </c>
      <c r="D10" s="560"/>
      <c r="E10" s="218"/>
      <c r="F10" s="219"/>
      <c r="G10" s="217" t="str">
        <f>Vistorias!F55</f>
        <v>Satisfatório</v>
      </c>
    </row>
    <row r="11" spans="1:18" s="6" customFormat="1">
      <c r="A11" s="583"/>
      <c r="B11" s="489"/>
      <c r="C11" s="215" t="str">
        <f>kVp!A6</f>
        <v>mA:</v>
      </c>
      <c r="D11" s="563" t="s">
        <v>1</v>
      </c>
      <c r="E11" s="589"/>
      <c r="F11" s="590" t="s">
        <v>204</v>
      </c>
      <c r="G11" s="225"/>
      <c r="I11" s="287" t="s">
        <v>471</v>
      </c>
      <c r="J11" s="288" t="s">
        <v>425</v>
      </c>
      <c r="K11" s="288" t="s">
        <v>426</v>
      </c>
      <c r="L11" s="175"/>
      <c r="M11" s="175"/>
      <c r="N11" s="175"/>
      <c r="O11" s="175"/>
      <c r="P11" s="165"/>
    </row>
    <row r="12" spans="1:18" s="6" customFormat="1">
      <c r="A12" s="581" t="s">
        <v>160</v>
      </c>
      <c r="B12" s="410" t="s">
        <v>137</v>
      </c>
      <c r="C12" s="215">
        <f>kVp!B6</f>
        <v>100</v>
      </c>
      <c r="D12" s="13">
        <f>kVp!B7</f>
        <v>50</v>
      </c>
      <c r="E12" s="212"/>
      <c r="F12" s="211">
        <f>kVp!B13</f>
        <v>1.6641542702913199</v>
      </c>
      <c r="G12" s="214" t="str">
        <f t="shared" ref="G12:G23" si="0">IF(F12&gt;10,"Verificar",IF(F12&lt;-10,"Verificar","Satisfatório"))</f>
        <v>Satisfatório</v>
      </c>
      <c r="I12" s="289" t="str">
        <f>IF(LOOKUP("Verificar",G12:G23)="Verificar","S","N")</f>
        <v>N</v>
      </c>
      <c r="J12" s="240">
        <v>2</v>
      </c>
      <c r="K12" s="241" t="s">
        <v>137</v>
      </c>
      <c r="L12" s="10"/>
      <c r="M12" s="10"/>
      <c r="N12" s="10"/>
      <c r="O12" s="10"/>
      <c r="P12" s="167"/>
    </row>
    <row r="13" spans="1:18" s="6" customFormat="1" ht="15">
      <c r="A13" s="583"/>
      <c r="B13" s="158" t="s">
        <v>322</v>
      </c>
      <c r="C13" s="215" t="str">
        <f>IF(kVp!C6=0,"",kVp!C6)</f>
        <v>Foco:</v>
      </c>
      <c r="D13" s="191">
        <f>kVp!C7</f>
        <v>60</v>
      </c>
      <c r="E13" s="199"/>
      <c r="F13" s="214">
        <f>kVp!C13</f>
        <v>1.4330315316716853</v>
      </c>
      <c r="G13" s="214" t="str">
        <f t="shared" si="0"/>
        <v>Satisfatório</v>
      </c>
      <c r="I13" s="289" t="str">
        <f>IF(LOOKUP("Verificar",G24:G35)="Verificar","S","N")</f>
        <v>N</v>
      </c>
      <c r="J13" s="240">
        <v>3</v>
      </c>
      <c r="K13" s="241" t="s">
        <v>138</v>
      </c>
      <c r="L13" s="10"/>
      <c r="M13" s="10"/>
      <c r="N13" s="10"/>
      <c r="O13" s="10"/>
      <c r="P13" s="167"/>
    </row>
    <row r="14" spans="1:18" s="6" customFormat="1" ht="15">
      <c r="A14" s="583"/>
      <c r="B14" s="157"/>
      <c r="C14" s="215" t="str">
        <f>IF(kVp!D6=0," ",kVp!D6)</f>
        <v xml:space="preserve">Fino </v>
      </c>
      <c r="D14" s="191">
        <f>kVp!D7</f>
        <v>70</v>
      </c>
      <c r="E14" s="26"/>
      <c r="F14" s="214">
        <f>kVp!D13</f>
        <v>1.3434485516377899</v>
      </c>
      <c r="G14" s="214" t="str">
        <f t="shared" si="0"/>
        <v>Satisfatório</v>
      </c>
      <c r="I14" s="289" t="str">
        <f>IF(G36="Verificar","S","N")</f>
        <v>N</v>
      </c>
      <c r="J14" s="240">
        <v>4</v>
      </c>
      <c r="K14" s="241" t="s">
        <v>142</v>
      </c>
      <c r="L14" s="10"/>
      <c r="M14" s="10"/>
      <c r="N14" s="10"/>
      <c r="O14" s="10"/>
      <c r="P14" s="167"/>
    </row>
    <row r="15" spans="1:18" s="6" customFormat="1" thickBot="1">
      <c r="A15" s="583"/>
      <c r="B15" s="158"/>
      <c r="C15" s="216" t="str">
        <f>IF(kVp!E6=0," ",kVp!E6)</f>
        <v/>
      </c>
      <c r="D15" s="217">
        <f>kVp!E7</f>
        <v>80</v>
      </c>
      <c r="E15" s="218"/>
      <c r="F15" s="219">
        <f>kVp!E13</f>
        <v>0.20861800946295972</v>
      </c>
      <c r="G15" s="219" t="str">
        <f t="shared" si="0"/>
        <v>Satisfatório</v>
      </c>
      <c r="I15" s="289" t="str">
        <f>IF(G38="Verificar","S","N")</f>
        <v>N</v>
      </c>
      <c r="J15" s="240">
        <v>5</v>
      </c>
      <c r="K15" s="241" t="s">
        <v>116</v>
      </c>
      <c r="L15" s="10"/>
      <c r="M15" s="10"/>
      <c r="N15" s="10"/>
      <c r="O15" s="10"/>
      <c r="P15" s="167"/>
    </row>
    <row r="16" spans="1:18" s="6" customFormat="1" ht="15">
      <c r="A16" s="583"/>
      <c r="B16" s="157"/>
      <c r="C16" s="215">
        <f>IF(kVp!B18=0,"Ocultar",kVp!B18)</f>
        <v>200</v>
      </c>
      <c r="D16" s="220">
        <f>kVp!B$19</f>
        <v>50</v>
      </c>
      <c r="E16" s="221"/>
      <c r="F16" s="211">
        <f>kVp!B25</f>
        <v>1.2858832478523254</v>
      </c>
      <c r="G16" s="211" t="str">
        <f t="shared" si="0"/>
        <v>Satisfatório</v>
      </c>
      <c r="I16" s="291" t="s">
        <v>429</v>
      </c>
      <c r="J16" s="292">
        <v>6</v>
      </c>
      <c r="K16" s="293" t="s">
        <v>143</v>
      </c>
      <c r="L16" s="294"/>
      <c r="M16" s="10"/>
      <c r="N16" s="10"/>
      <c r="O16" s="10"/>
      <c r="P16" s="167"/>
    </row>
    <row r="17" spans="1:16" s="6" customFormat="1" ht="15">
      <c r="A17" s="583"/>
      <c r="B17" s="39"/>
      <c r="C17" s="215" t="str">
        <f>IF(kVp!C18=0,"",kVp!C18)</f>
        <v>Foco:</v>
      </c>
      <c r="D17" s="200">
        <f>kVp!C$19</f>
        <v>60</v>
      </c>
      <c r="E17" s="27"/>
      <c r="F17" s="214">
        <f>kVp!C25</f>
        <v>1.3175768181681609</v>
      </c>
      <c r="G17" s="214" t="str">
        <f t="shared" si="0"/>
        <v>Satisfatório</v>
      </c>
      <c r="I17" s="289" t="str">
        <f>IF(LOOKUP("Verificar",G43:G48)="Verificar","S","N")</f>
        <v>N</v>
      </c>
      <c r="J17" s="240">
        <v>7</v>
      </c>
      <c r="K17" s="241" t="s">
        <v>117</v>
      </c>
      <c r="L17" s="10"/>
      <c r="M17" s="10"/>
      <c r="N17" s="10"/>
      <c r="O17" s="10"/>
      <c r="P17" s="167"/>
    </row>
    <row r="18" spans="1:16" s="6" customFormat="1" ht="15">
      <c r="A18" s="583"/>
      <c r="B18" s="39"/>
      <c r="C18" s="215" t="str">
        <f>IF(kVp!D18=0," ",kVp!D18)</f>
        <v>Grosso</v>
      </c>
      <c r="D18" s="191">
        <f>kVp!D$19</f>
        <v>70</v>
      </c>
      <c r="E18" s="27"/>
      <c r="F18" s="214">
        <f>kVp!D25</f>
        <v>1.0976608289139531</v>
      </c>
      <c r="G18" s="214" t="str">
        <f t="shared" si="0"/>
        <v>Satisfatório</v>
      </c>
      <c r="I18" s="290" t="str">
        <f>IF(LOOKUP("Verificar",G50:G55)="Verificar","S","N")</f>
        <v>N</v>
      </c>
      <c r="J18" s="240">
        <v>8</v>
      </c>
      <c r="K18" s="241" t="s">
        <v>94</v>
      </c>
      <c r="L18" s="10"/>
      <c r="M18" s="10"/>
      <c r="N18" s="10"/>
      <c r="O18" s="10"/>
      <c r="P18" s="167"/>
    </row>
    <row r="19" spans="1:16" s="6" customFormat="1" thickBot="1">
      <c r="A19" s="577"/>
      <c r="B19" s="795"/>
      <c r="C19" s="216"/>
      <c r="D19" s="217">
        <f>kVp!E$19</f>
        <v>80</v>
      </c>
      <c r="E19" s="222"/>
      <c r="F19" s="219">
        <f>kVp!E25</f>
        <v>1.1350797917693889</v>
      </c>
      <c r="G19" s="219" t="str">
        <f t="shared" si="0"/>
        <v>Satisfatório</v>
      </c>
      <c r="I19" s="289" t="str">
        <f>IF(G60="Verificar","S","N")</f>
        <v>N</v>
      </c>
      <c r="J19" s="240">
        <v>10</v>
      </c>
      <c r="K19" s="241" t="s">
        <v>144</v>
      </c>
      <c r="L19" s="10"/>
      <c r="M19" s="197"/>
      <c r="N19" s="10"/>
      <c r="O19" s="10"/>
      <c r="P19" s="167"/>
    </row>
    <row r="20" spans="1:16" s="6" customFormat="1" ht="15">
      <c r="A20" s="583"/>
      <c r="B20" s="39"/>
      <c r="C20" s="215">
        <f>IF(kVp!B30=0,"Ocultar",kVp!B30)</f>
        <v>320</v>
      </c>
      <c r="D20" s="220">
        <f>kVp!B$31</f>
        <v>50</v>
      </c>
      <c r="E20" s="212"/>
      <c r="F20" s="211">
        <f>kVp!B37</f>
        <v>0.79276826977729797</v>
      </c>
      <c r="G20" s="211" t="str">
        <f>IF(F20&gt;10,"Verificar",IF(F20&lt;-10,"Verificar","Satisfatório"))</f>
        <v>Satisfatório</v>
      </c>
      <c r="I20" s="289" t="str">
        <f>IF(G62="Verificar","S",IF(G71="Verificar","S",IF(G72="Verificar","S","N")))</f>
        <v>N</v>
      </c>
      <c r="J20" s="240">
        <v>11</v>
      </c>
      <c r="K20" s="241" t="s">
        <v>141</v>
      </c>
      <c r="L20" s="10"/>
      <c r="M20" s="10"/>
      <c r="N20" s="10"/>
      <c r="O20" s="10"/>
      <c r="P20" s="167"/>
    </row>
    <row r="21" spans="1:16" s="6" customFormat="1" ht="15">
      <c r="A21" s="583"/>
      <c r="B21" s="39"/>
      <c r="C21" s="215"/>
      <c r="D21" s="191">
        <f>kVp!C$31</f>
        <v>60</v>
      </c>
      <c r="E21" s="27"/>
      <c r="F21" s="223">
        <f>kVp!C37</f>
        <v>0.14866152654091044</v>
      </c>
      <c r="G21" s="214" t="str">
        <f t="shared" si="0"/>
        <v>Satisfatório</v>
      </c>
      <c r="I21" s="289" t="str">
        <f>IF(G64="Verificar","S","N")</f>
        <v>N</v>
      </c>
      <c r="J21" s="240">
        <v>12</v>
      </c>
      <c r="K21" s="241" t="s">
        <v>3</v>
      </c>
      <c r="L21" s="10"/>
      <c r="M21" s="10"/>
      <c r="N21" s="10"/>
      <c r="O21" s="10"/>
      <c r="P21" s="167"/>
    </row>
    <row r="22" spans="1:16" s="6" customFormat="1" ht="15">
      <c r="A22" s="583"/>
      <c r="B22" s="39"/>
      <c r="C22" s="215"/>
      <c r="D22" s="200">
        <f>kVp!D$31</f>
        <v>70</v>
      </c>
      <c r="E22" s="27"/>
      <c r="F22" s="223">
        <f>kVp!D37</f>
        <v>0.75443070488317077</v>
      </c>
      <c r="G22" s="214" t="str">
        <f t="shared" si="0"/>
        <v>Satisfatório</v>
      </c>
      <c r="I22" s="289" t="str">
        <f>IF(G66="Verificar","S","N")</f>
        <v>N</v>
      </c>
      <c r="J22" s="240">
        <v>13</v>
      </c>
      <c r="K22" s="241" t="s">
        <v>172</v>
      </c>
      <c r="L22" s="10"/>
      <c r="M22" s="10"/>
      <c r="N22" s="10"/>
      <c r="O22" s="10"/>
      <c r="P22" s="167"/>
    </row>
    <row r="23" spans="1:16" s="6" customFormat="1" thickBot="1">
      <c r="A23" s="577"/>
      <c r="B23" s="87"/>
      <c r="C23" s="216"/>
      <c r="D23" s="217">
        <f>kVp!E$31</f>
        <v>80</v>
      </c>
      <c r="E23" s="222"/>
      <c r="F23" s="224">
        <f>kVp!E37</f>
        <v>1.2942546531558108</v>
      </c>
      <c r="G23" s="219" t="str">
        <f t="shared" si="0"/>
        <v>Satisfatório</v>
      </c>
      <c r="I23" s="289" t="str">
        <f>IF(G67="Verificar","S","N")</f>
        <v>N</v>
      </c>
      <c r="J23" s="240">
        <v>14</v>
      </c>
      <c r="K23" s="241" t="s">
        <v>173</v>
      </c>
      <c r="L23" s="10"/>
      <c r="M23" s="10"/>
      <c r="N23" s="10"/>
      <c r="O23" s="10"/>
      <c r="P23" s="167"/>
    </row>
    <row r="24" spans="1:16" s="6" customFormat="1" ht="15.75" customHeight="1">
      <c r="A24" s="586" t="s">
        <v>161</v>
      </c>
      <c r="B24" s="1153" t="s">
        <v>138</v>
      </c>
      <c r="C24" s="442">
        <f t="shared" ref="C24:C29" si="1">C12</f>
        <v>100</v>
      </c>
      <c r="D24" s="443">
        <f>kVp!$B$7</f>
        <v>50</v>
      </c>
      <c r="E24" s="444"/>
      <c r="F24" s="445">
        <f>kVp!B$15</f>
        <v>1.0248990556743786E-3</v>
      </c>
      <c r="G24" s="446" t="str">
        <f t="shared" ref="G24:G35" si="2">IF(F24&gt;0.1000000000001,"Verificar",IF(F24&lt;-0.10000000001,"Verificar","Satisfatório"))</f>
        <v>Satisfatório</v>
      </c>
      <c r="I24" s="289" t="str">
        <f>IF(G68="Verificar","S","N")</f>
        <v>N</v>
      </c>
      <c r="J24" s="240">
        <v>15</v>
      </c>
      <c r="K24" s="241" t="s">
        <v>427</v>
      </c>
      <c r="L24" s="10"/>
      <c r="M24" s="10"/>
      <c r="N24" s="10"/>
      <c r="O24" s="10"/>
      <c r="P24" s="167"/>
    </row>
    <row r="25" spans="1:16" s="6" customFormat="1" ht="15">
      <c r="A25" s="580"/>
      <c r="B25" s="1154"/>
      <c r="C25" s="215" t="str">
        <f t="shared" si="1"/>
        <v>Foco:</v>
      </c>
      <c r="D25" s="423">
        <f>kVp!C7</f>
        <v>60</v>
      </c>
      <c r="E25" s="422"/>
      <c r="F25" s="94">
        <f>kVp!C$15</f>
        <v>9.3479787669065574E-4</v>
      </c>
      <c r="G25" s="447" t="str">
        <f t="shared" si="2"/>
        <v>Satisfatório</v>
      </c>
      <c r="I25" s="289" t="str">
        <f>IF(G69="Verificar","S","N")</f>
        <v>N</v>
      </c>
      <c r="J25" s="240">
        <v>16</v>
      </c>
      <c r="K25" s="241" t="s">
        <v>428</v>
      </c>
      <c r="L25" s="10"/>
      <c r="M25" s="10"/>
      <c r="N25" s="10"/>
      <c r="O25" s="10"/>
      <c r="P25" s="167"/>
    </row>
    <row r="26" spans="1:16" s="6" customFormat="1" ht="15">
      <c r="A26" s="580"/>
      <c r="B26" s="490" t="s">
        <v>323</v>
      </c>
      <c r="C26" s="215" t="str">
        <f t="shared" si="1"/>
        <v xml:space="preserve">Fino </v>
      </c>
      <c r="D26" s="423">
        <f>kVp!D7</f>
        <v>70</v>
      </c>
      <c r="E26" s="422"/>
      <c r="F26" s="94">
        <f>kVp!D$15</f>
        <v>1.5257975973248775E-3</v>
      </c>
      <c r="G26" s="447" t="str">
        <f t="shared" si="2"/>
        <v>Satisfatório</v>
      </c>
      <c r="I26" s="289" t="str">
        <f>IF(K5=0,"N",IF(G87="O equipamento apresentou variação em relação aos valores anteriores","S","N"))</f>
        <v>N</v>
      </c>
      <c r="J26" s="240">
        <v>18</v>
      </c>
      <c r="K26" s="241" t="s">
        <v>465</v>
      </c>
      <c r="L26" s="10"/>
      <c r="M26" s="10"/>
      <c r="N26" s="10"/>
      <c r="O26" s="10"/>
      <c r="P26" s="167"/>
    </row>
    <row r="27" spans="1:16" s="6" customFormat="1" thickBot="1">
      <c r="A27" s="580"/>
      <c r="B27" s="489"/>
      <c r="C27" s="216" t="str">
        <f t="shared" si="1"/>
        <v/>
      </c>
      <c r="D27" s="217">
        <f>kVp!E7</f>
        <v>80</v>
      </c>
      <c r="E27" s="228"/>
      <c r="F27" s="229">
        <f>kVp!E$15</f>
        <v>1.2780813524851753E-3</v>
      </c>
      <c r="G27" s="448" t="str">
        <f t="shared" si="2"/>
        <v>Satisfatório</v>
      </c>
      <c r="I27" s="289" t="str">
        <f>IF(K5=0,"N",IF(G90="Verificar","S","N"))</f>
        <v>N</v>
      </c>
      <c r="J27" s="240">
        <v>19</v>
      </c>
      <c r="K27" s="241" t="s">
        <v>466</v>
      </c>
      <c r="L27" s="10"/>
      <c r="M27" s="10"/>
      <c r="N27" s="10"/>
      <c r="O27" s="10"/>
      <c r="P27" s="167"/>
    </row>
    <row r="28" spans="1:16" s="6" customFormat="1" ht="15">
      <c r="A28" s="580"/>
      <c r="B28" s="489"/>
      <c r="C28" s="215">
        <f t="shared" si="1"/>
        <v>200</v>
      </c>
      <c r="D28" s="225">
        <f>kVp!B$19</f>
        <v>50</v>
      </c>
      <c r="E28" s="226"/>
      <c r="F28" s="227">
        <f>kVp!B$27</f>
        <v>7.6408052641318931E-3</v>
      </c>
      <c r="G28" s="449" t="str">
        <f t="shared" si="2"/>
        <v>Satisfatório</v>
      </c>
      <c r="I28" s="289" t="str">
        <f>IF(K5=0,"N",IF(G93="Verificar","S",IF(G94="Verificar","S","N")))</f>
        <v>N</v>
      </c>
      <c r="J28" s="240">
        <v>20</v>
      </c>
      <c r="K28" s="241" t="s">
        <v>468</v>
      </c>
      <c r="L28" s="10"/>
      <c r="M28" s="10"/>
      <c r="N28" s="10"/>
      <c r="O28" s="10"/>
      <c r="P28" s="167"/>
    </row>
    <row r="29" spans="1:16" s="6" customFormat="1" thickBot="1">
      <c r="A29" s="580"/>
      <c r="B29" s="489"/>
      <c r="C29" s="215" t="str">
        <f t="shared" si="1"/>
        <v>Foco:</v>
      </c>
      <c r="D29" s="423">
        <f>kVp!C$19</f>
        <v>60</v>
      </c>
      <c r="E29" s="422"/>
      <c r="F29" s="94">
        <f>kVp!C$27</f>
        <v>1.2970110763264764E-3</v>
      </c>
      <c r="G29" s="447" t="str">
        <f t="shared" si="2"/>
        <v>Satisfatório</v>
      </c>
      <c r="I29" s="350" t="str">
        <f>IF(K5=0,"N",IF(G95="Verificar","S","N"))</f>
        <v>N</v>
      </c>
      <c r="J29" s="246">
        <v>21</v>
      </c>
      <c r="K29" s="247" t="s">
        <v>467</v>
      </c>
      <c r="L29" s="98"/>
      <c r="M29" s="98"/>
      <c r="N29" s="98"/>
      <c r="O29" s="98"/>
      <c r="P29" s="171"/>
    </row>
    <row r="30" spans="1:16" s="6" customFormat="1" ht="15">
      <c r="A30" s="580"/>
      <c r="B30" s="489"/>
      <c r="C30" s="215" t="str">
        <f>C18</f>
        <v>Grosso</v>
      </c>
      <c r="D30" s="423">
        <f>kVp!D$19</f>
        <v>70</v>
      </c>
      <c r="E30" s="422"/>
      <c r="F30" s="94">
        <f>kVp!D$27</f>
        <v>1.4989866341091505E-3</v>
      </c>
      <c r="G30" s="447" t="str">
        <f t="shared" si="2"/>
        <v>Satisfatório</v>
      </c>
      <c r="I30" s="240"/>
      <c r="J30" s="240"/>
      <c r="K30" s="241"/>
      <c r="L30" s="10"/>
      <c r="M30" s="10"/>
      <c r="N30" s="10"/>
      <c r="O30" s="10"/>
      <c r="P30" s="10"/>
    </row>
    <row r="31" spans="1:16" s="6" customFormat="1" thickBot="1">
      <c r="A31" s="587"/>
      <c r="B31" s="424"/>
      <c r="C31" s="216"/>
      <c r="D31" s="217">
        <f>kVp!E$19</f>
        <v>80</v>
      </c>
      <c r="E31" s="228"/>
      <c r="F31" s="229">
        <f>kVp!E$27</f>
        <v>1.7168180028388309E-3</v>
      </c>
      <c r="G31" s="448" t="str">
        <f t="shared" si="2"/>
        <v>Satisfatório</v>
      </c>
    </row>
    <row r="32" spans="1:16" s="6" customFormat="1" ht="15">
      <c r="A32" s="585"/>
      <c r="B32" s="395"/>
      <c r="C32" s="215">
        <f>C20</f>
        <v>320</v>
      </c>
      <c r="D32" s="225">
        <f>kVp!B$31</f>
        <v>50</v>
      </c>
      <c r="E32" s="226"/>
      <c r="F32" s="227">
        <f>kVp!B$39</f>
        <v>2.0919259731649606E-3</v>
      </c>
      <c r="G32" s="225" t="str">
        <f t="shared" si="2"/>
        <v>Satisfatório</v>
      </c>
    </row>
    <row r="33" spans="1:7" s="6" customFormat="1" ht="15">
      <c r="A33" s="583"/>
      <c r="B33" s="395"/>
      <c r="C33" s="215"/>
      <c r="D33" s="13">
        <f>kVp!C$31</f>
        <v>60</v>
      </c>
      <c r="E33" s="26"/>
      <c r="F33" s="94">
        <f>kVp!C$39</f>
        <v>2.2327990202954352E-3</v>
      </c>
      <c r="G33" s="13" t="str">
        <f t="shared" si="2"/>
        <v>Satisfatório</v>
      </c>
    </row>
    <row r="34" spans="1:7" s="6" customFormat="1" ht="15">
      <c r="A34" s="583"/>
      <c r="B34" s="395"/>
      <c r="C34" s="215"/>
      <c r="D34" s="13">
        <f>kVp!D$31</f>
        <v>70</v>
      </c>
      <c r="E34" s="26"/>
      <c r="F34" s="94">
        <f>kVp!D$39</f>
        <v>8.1251843542426774E-4</v>
      </c>
      <c r="G34" s="13" t="str">
        <f t="shared" si="2"/>
        <v>Satisfatório</v>
      </c>
    </row>
    <row r="35" spans="1:7" s="6" customFormat="1" thickBot="1">
      <c r="A35" s="577"/>
      <c r="B35" s="584"/>
      <c r="C35" s="216"/>
      <c r="D35" s="217">
        <f>kVp!E$31</f>
        <v>80</v>
      </c>
      <c r="E35" s="228"/>
      <c r="F35" s="229">
        <f>kVp!E$39</f>
        <v>1.2289290566891195E-3</v>
      </c>
      <c r="G35" s="217" t="str">
        <f t="shared" si="2"/>
        <v>Satisfatório</v>
      </c>
    </row>
    <row r="36" spans="1:7" s="6" customFormat="1">
      <c r="A36" s="583" t="s">
        <v>162</v>
      </c>
      <c r="B36" s="1036" t="s">
        <v>142</v>
      </c>
      <c r="C36" s="1036"/>
      <c r="D36" s="1143"/>
      <c r="E36" s="212"/>
      <c r="F36" s="1134">
        <f>MAX(kVp!B51:D51)</f>
        <v>0.87429111531192005</v>
      </c>
      <c r="G36" s="1138" t="str">
        <f>IF(F36&gt;10,"Verificar",IF(F36&lt;-10,"Verificar","Satisfatório"))</f>
        <v>Satisfatório</v>
      </c>
    </row>
    <row r="37" spans="1:7" s="6" customFormat="1" thickBot="1">
      <c r="A37" s="577"/>
      <c r="B37" s="1130" t="s">
        <v>324</v>
      </c>
      <c r="C37" s="1131"/>
      <c r="D37" s="1132"/>
      <c r="E37" s="27"/>
      <c r="F37" s="1135"/>
      <c r="G37" s="1139"/>
    </row>
    <row r="38" spans="1:7" s="6" customFormat="1">
      <c r="A38" s="583" t="s">
        <v>163</v>
      </c>
      <c r="B38" s="1036" t="s">
        <v>116</v>
      </c>
      <c r="C38" s="1036"/>
      <c r="D38" s="1143"/>
      <c r="E38" s="27"/>
      <c r="F38" s="1134">
        <f>kVp!B54</f>
        <v>4.5505295874950829</v>
      </c>
      <c r="G38" s="1138" t="str">
        <f>IF(F38&gt;20,"Verificar",IF(F38&lt;-20,"Verificar","Satisfatório"))</f>
        <v>Satisfatório</v>
      </c>
    </row>
    <row r="39" spans="1:7" s="6" customFormat="1" thickBot="1">
      <c r="A39" s="577"/>
      <c r="B39" s="1130" t="s">
        <v>325</v>
      </c>
      <c r="C39" s="1131"/>
      <c r="D39" s="1132"/>
      <c r="E39" s="27"/>
      <c r="F39" s="1135"/>
      <c r="G39" s="1139"/>
    </row>
    <row r="40" spans="1:7" s="6" customFormat="1">
      <c r="A40" s="581" t="s">
        <v>164</v>
      </c>
      <c r="B40" s="1036" t="s">
        <v>143</v>
      </c>
      <c r="C40" s="1036"/>
      <c r="D40" s="1143"/>
      <c r="E40" s="27"/>
      <c r="F40" s="1134">
        <f>Tubo!D12</f>
        <v>70.923150000000007</v>
      </c>
      <c r="G40" s="1147" t="s">
        <v>679</v>
      </c>
    </row>
    <row r="41" spans="1:7" s="6" customFormat="1" thickBot="1">
      <c r="A41" s="582"/>
      <c r="B41" s="1130" t="s">
        <v>93</v>
      </c>
      <c r="C41" s="1131"/>
      <c r="D41" s="1132"/>
      <c r="E41" s="27"/>
      <c r="F41" s="1135"/>
      <c r="G41" s="1148"/>
    </row>
    <row r="42" spans="1:7" s="6" customFormat="1">
      <c r="A42" s="581" t="s">
        <v>165</v>
      </c>
      <c r="B42" s="486" t="s">
        <v>117</v>
      </c>
      <c r="C42" s="11"/>
      <c r="D42" s="475" t="s">
        <v>178</v>
      </c>
      <c r="E42" s="230"/>
      <c r="F42" s="231" t="s">
        <v>204</v>
      </c>
      <c r="G42" s="207"/>
    </row>
    <row r="43" spans="1:7" s="6" customFormat="1" ht="15">
      <c r="A43" s="581"/>
      <c r="B43" s="157" t="s">
        <v>324</v>
      </c>
      <c r="C43" s="11"/>
      <c r="D43" s="472">
        <f>Tubo!B17</f>
        <v>50</v>
      </c>
      <c r="E43" s="213"/>
      <c r="F43" s="232">
        <f>Tubo!B23</f>
        <v>1.1308807492256108</v>
      </c>
      <c r="G43" s="233" t="str">
        <f>Tubo!B24</f>
        <v>Satisfatório</v>
      </c>
    </row>
    <row r="44" spans="1:7" s="6" customFormat="1" ht="15">
      <c r="A44" s="581"/>
      <c r="B44" s="489"/>
      <c r="C44" s="11"/>
      <c r="D44" s="472">
        <f>Tubo!C17</f>
        <v>100</v>
      </c>
      <c r="E44" s="213"/>
      <c r="F44" s="232">
        <f>Tubo!C23</f>
        <v>1.5287628084421101</v>
      </c>
      <c r="G44" s="233" t="str">
        <f>Tubo!C24</f>
        <v>Satisfatório</v>
      </c>
    </row>
    <row r="45" spans="1:7" s="6" customFormat="1" ht="15">
      <c r="A45" s="581"/>
      <c r="B45" s="489"/>
      <c r="C45" s="11"/>
      <c r="D45" s="472">
        <f>Tubo!D17</f>
        <v>160</v>
      </c>
      <c r="E45" s="213"/>
      <c r="F45" s="232">
        <f>Tubo!D23</f>
        <v>1.6379215922206569</v>
      </c>
      <c r="G45" s="233" t="str">
        <f>Tubo!D24</f>
        <v>Satisfatório</v>
      </c>
    </row>
    <row r="46" spans="1:7" s="6" customFormat="1" ht="15">
      <c r="A46" s="581"/>
      <c r="B46" s="489"/>
      <c r="C46" s="11"/>
      <c r="D46" s="472">
        <f>Tubo!E17</f>
        <v>200</v>
      </c>
      <c r="E46" s="213"/>
      <c r="F46" s="232">
        <f>Tubo!E23</f>
        <v>1.6003169529139853</v>
      </c>
      <c r="G46" s="233" t="str">
        <f>Tubo!E24</f>
        <v>Satisfatório</v>
      </c>
    </row>
    <row r="47" spans="1:7" s="6" customFormat="1" ht="15">
      <c r="A47" s="581"/>
      <c r="B47" s="489"/>
      <c r="C47" s="11"/>
      <c r="D47" s="472">
        <f>Tubo!F17</f>
        <v>250</v>
      </c>
      <c r="E47" s="213"/>
      <c r="F47" s="232">
        <f>Tubo!F23</f>
        <v>1.7911121773719743</v>
      </c>
      <c r="G47" s="233" t="str">
        <f>Tubo!F24</f>
        <v>Satisfatório</v>
      </c>
    </row>
    <row r="48" spans="1:7" s="6" customFormat="1" thickBot="1">
      <c r="A48" s="582"/>
      <c r="B48" s="98"/>
      <c r="C48" s="98"/>
      <c r="D48" s="473">
        <f>Tubo!G17</f>
        <v>320</v>
      </c>
      <c r="E48" s="213"/>
      <c r="F48" s="206">
        <f>Tubo!G23</f>
        <v>1.6118543180636991</v>
      </c>
      <c r="G48" s="208" t="str">
        <f>Tubo!G24</f>
        <v>Satisfatório</v>
      </c>
    </row>
    <row r="49" spans="1:22" s="6" customFormat="1">
      <c r="A49" s="581" t="s">
        <v>166</v>
      </c>
      <c r="B49" s="486" t="s">
        <v>94</v>
      </c>
      <c r="C49" s="11"/>
      <c r="D49" s="474" t="s">
        <v>178</v>
      </c>
      <c r="E49" s="230"/>
      <c r="F49" s="231" t="s">
        <v>55</v>
      </c>
      <c r="G49" s="207"/>
      <c r="I49" s="85"/>
    </row>
    <row r="50" spans="1:22" s="6" customFormat="1" ht="15">
      <c r="A50" s="581"/>
      <c r="B50" s="157" t="s">
        <v>326</v>
      </c>
      <c r="C50" s="11"/>
      <c r="D50" s="472">
        <f>IF(Tubo!B17=0,"A",Tubo!B17)</f>
        <v>50</v>
      </c>
      <c r="E50" s="213"/>
      <c r="F50" s="234">
        <f>Tubo!B25</f>
        <v>1.4944753844465294E-3</v>
      </c>
      <c r="G50" s="233" t="str">
        <f>Tubo!B26</f>
        <v>Satisfatório</v>
      </c>
    </row>
    <row r="51" spans="1:22" s="6" customFormat="1" ht="15">
      <c r="A51" s="581"/>
      <c r="B51" s="489"/>
      <c r="C51" s="11"/>
      <c r="D51" s="472">
        <f>IF(Tubo!C17=0,"B",Tubo!C17)</f>
        <v>100</v>
      </c>
      <c r="E51" s="213"/>
      <c r="F51" s="234">
        <f>Tubo!C25</f>
        <v>9.2501205930312113E-4</v>
      </c>
      <c r="G51" s="233" t="str">
        <f>Tubo!C26</f>
        <v>Satisfatório</v>
      </c>
      <c r="I51" s="85"/>
    </row>
    <row r="52" spans="1:22" s="6" customFormat="1" ht="15">
      <c r="A52" s="581"/>
      <c r="B52" s="489"/>
      <c r="C52" s="11"/>
      <c r="D52" s="472">
        <f>IF(Tubo!D17=0,"C",Tubo!D17)</f>
        <v>160</v>
      </c>
      <c r="E52" s="213"/>
      <c r="F52" s="234">
        <f>Tubo!D25</f>
        <v>1.1556067472289972E-3</v>
      </c>
      <c r="G52" s="233" t="str">
        <f>Tubo!D26</f>
        <v>Satisfatório</v>
      </c>
      <c r="I52" s="85"/>
    </row>
    <row r="53" spans="1:22" s="6" customFormat="1" ht="15">
      <c r="A53" s="581"/>
      <c r="B53" s="489"/>
      <c r="C53" s="11"/>
      <c r="D53" s="472">
        <f>IF(Tubo!E17=0,"D",Tubo!E17)</f>
        <v>200</v>
      </c>
      <c r="E53" s="213"/>
      <c r="F53" s="234">
        <f>Tubo!E25</f>
        <v>3.9068829394726468E-4</v>
      </c>
      <c r="G53" s="233" t="str">
        <f>Tubo!E26</f>
        <v>Satisfatório</v>
      </c>
      <c r="I53" s="85"/>
    </row>
    <row r="54" spans="1:22" s="6" customFormat="1" ht="15">
      <c r="A54" s="581"/>
      <c r="B54" s="489"/>
      <c r="C54" s="11"/>
      <c r="D54" s="472">
        <f>IF(Tubo!F17=0,"E",Tubo!F17)</f>
        <v>250</v>
      </c>
      <c r="E54" s="213"/>
      <c r="F54" s="234">
        <f>Tubo!F25</f>
        <v>2.1161790287350067E-4</v>
      </c>
      <c r="G54" s="233" t="str">
        <f>Tubo!F26</f>
        <v>Satisfatório</v>
      </c>
      <c r="I54" s="85"/>
    </row>
    <row r="55" spans="1:22" s="6" customFormat="1" thickBot="1">
      <c r="A55" s="582"/>
      <c r="B55" s="495"/>
      <c r="C55" s="235"/>
      <c r="D55" s="473">
        <f>IF(Tubo!G17=0,"F",Tubo!G17)</f>
        <v>320</v>
      </c>
      <c r="E55" s="213"/>
      <c r="F55" s="234">
        <f>Tubo!G25</f>
        <v>3.6014741335551069E-4</v>
      </c>
      <c r="G55" s="233" t="str">
        <f>Tubo!G26</f>
        <v>Satisfatório</v>
      </c>
      <c r="I55" s="85"/>
    </row>
    <row r="56" spans="1:22" s="6" customFormat="1" hidden="1">
      <c r="A56" s="583" t="s">
        <v>167</v>
      </c>
      <c r="B56" s="792" t="s">
        <v>118</v>
      </c>
      <c r="C56" s="792"/>
      <c r="D56" s="792"/>
      <c r="E56" s="27"/>
      <c r="F56" s="1136" t="e">
        <f>Tubo!B41/100</f>
        <v>#DIV/0!</v>
      </c>
      <c r="G56" s="1138" t="str">
        <f>IF('GABARITO DIGITAÇÃO'!B128="Não Disponível","Ocultar",Tubo!B42)</f>
        <v>Ocultar</v>
      </c>
    </row>
    <row r="57" spans="1:22" s="6" customFormat="1" hidden="1" thickBot="1">
      <c r="A57" s="577"/>
      <c r="B57" s="1130" t="s">
        <v>615</v>
      </c>
      <c r="C57" s="1131"/>
      <c r="D57" s="1133"/>
      <c r="E57" s="27"/>
      <c r="F57" s="1137"/>
      <c r="G57" s="1139"/>
    </row>
    <row r="58" spans="1:22" s="6" customFormat="1" ht="18.75" hidden="1" thickBot="1">
      <c r="B58" s="1127" t="s">
        <v>180</v>
      </c>
      <c r="C58" s="1127"/>
      <c r="D58" s="1127"/>
      <c r="E58" s="1127"/>
      <c r="F58" s="1127"/>
      <c r="G58" s="1127"/>
    </row>
    <row r="59" spans="1:22" s="6" customFormat="1" hidden="1" thickBot="1">
      <c r="A59" s="98"/>
      <c r="B59" s="860"/>
      <c r="C59" s="798"/>
      <c r="D59" s="798"/>
      <c r="E59" s="11"/>
      <c r="F59" s="248"/>
      <c r="G59" s="249"/>
    </row>
    <row r="60" spans="1:22" s="6" customFormat="1">
      <c r="A60" s="581" t="s">
        <v>168</v>
      </c>
      <c r="B60" s="1036" t="s">
        <v>144</v>
      </c>
      <c r="C60" s="1036"/>
      <c r="D60" s="1143"/>
      <c r="E60" s="27"/>
      <c r="F60" s="1134">
        <f>Tubo!E51</f>
        <v>3.2000000000000011</v>
      </c>
      <c r="G60" s="1138" t="str">
        <f>IF(F60&gt;2.3,"Satisfatório",IF(F60&lt;-2.3,"Satisfatório","Acrescentar 1 mmAl"))</f>
        <v>Satisfatório</v>
      </c>
      <c r="V60" s="578"/>
    </row>
    <row r="61" spans="1:22" s="6" customFormat="1" thickBot="1">
      <c r="A61" s="577"/>
      <c r="B61" s="1144" t="s">
        <v>243</v>
      </c>
      <c r="C61" s="1145"/>
      <c r="D61" s="1146"/>
      <c r="E61" s="27"/>
      <c r="F61" s="1135"/>
      <c r="G61" s="1139"/>
      <c r="V61" s="578"/>
    </row>
    <row r="62" spans="1:22" s="6" customFormat="1">
      <c r="A62" s="581" t="s">
        <v>169</v>
      </c>
      <c r="B62" s="1036" t="s">
        <v>594</v>
      </c>
      <c r="C62" s="1036"/>
      <c r="D62" s="1143"/>
      <c r="E62" s="27"/>
      <c r="F62" s="1136">
        <f>MAX('Testes Mec.'!D6:D9)</f>
        <v>0</v>
      </c>
      <c r="G62" s="1138" t="str">
        <f>IF(F62&lt;0.021,"Satisfatório","Verificar")</f>
        <v>Satisfatório</v>
      </c>
    </row>
    <row r="63" spans="1:22" s="6" customFormat="1" thickBot="1">
      <c r="A63" s="577"/>
      <c r="B63" s="1130" t="s">
        <v>327</v>
      </c>
      <c r="C63" s="1131"/>
      <c r="D63" s="1132"/>
      <c r="E63" s="27"/>
      <c r="F63" s="1137"/>
      <c r="G63" s="1139"/>
    </row>
    <row r="64" spans="1:22" s="6" customFormat="1">
      <c r="A64" s="576" t="s">
        <v>170</v>
      </c>
      <c r="B64" s="1036" t="s">
        <v>3</v>
      </c>
      <c r="C64" s="1036"/>
      <c r="D64" s="1143"/>
      <c r="E64" s="26"/>
      <c r="F64" s="1134" t="str">
        <f>'Testes Mec.'!C16</f>
        <v>&lt; 1,5º</v>
      </c>
      <c r="G64" s="1138" t="str">
        <f>IF('Testes Mec.'!C16="&gt; 3º","Verificar","Satisfatório")</f>
        <v>Satisfatório</v>
      </c>
      <c r="M64" s="286"/>
    </row>
    <row r="65" spans="1:21" s="6" customFormat="1" thickBot="1">
      <c r="A65" s="577"/>
      <c r="B65" s="1130" t="s">
        <v>145</v>
      </c>
      <c r="C65" s="1131"/>
      <c r="D65" s="1132"/>
      <c r="E65" s="27"/>
      <c r="F65" s="1135"/>
      <c r="G65" s="1139"/>
    </row>
    <row r="66" spans="1:21" s="6" customFormat="1" ht="16.5" thickBot="1">
      <c r="A66" s="579" t="s">
        <v>174</v>
      </c>
      <c r="B66" s="1140" t="s">
        <v>172</v>
      </c>
      <c r="C66" s="1140"/>
      <c r="D66" s="1165"/>
      <c r="E66" s="27"/>
      <c r="F66" s="236" t="str">
        <f>'Testes Mec.'!C23</f>
        <v>1,0</v>
      </c>
      <c r="G66" s="237" t="str">
        <f>'Testes Mec.'!C25</f>
        <v>Satisfatório</v>
      </c>
    </row>
    <row r="67" spans="1:21" s="6" customFormat="1" ht="16.5" thickBot="1">
      <c r="A67" s="579" t="s">
        <v>175</v>
      </c>
      <c r="B67" s="570" t="s">
        <v>173</v>
      </c>
      <c r="C67" s="250"/>
      <c r="D67" s="251"/>
      <c r="E67" s="27"/>
      <c r="F67" s="252" t="str">
        <f>'Testes Mec.'!C30</f>
        <v>1,7</v>
      </c>
      <c r="G67" s="253" t="str">
        <f>'Testes Mec.'!C32</f>
        <v>Satisfatório</v>
      </c>
    </row>
    <row r="68" spans="1:21" s="6" customFormat="1" ht="16.5" hidden="1" thickBot="1">
      <c r="A68" s="579" t="s">
        <v>176</v>
      </c>
      <c r="B68" s="1140" t="s">
        <v>574</v>
      </c>
      <c r="C68" s="1141"/>
      <c r="D68" s="1142"/>
      <c r="E68" s="311"/>
      <c r="F68" s="312" t="e">
        <f>MAX('Testes Mec.'!M41:M42)</f>
        <v>#DIV/0!</v>
      </c>
      <c r="G68" s="313" t="str">
        <f>IF('GABARITO DIGITAÇÃO'!B170="","Ocultar",'Testes Mec.'!B41)</f>
        <v>Ocultar</v>
      </c>
    </row>
    <row r="69" spans="1:21" s="6" customFormat="1" ht="16.5" hidden="1" thickBot="1">
      <c r="A69" s="577" t="s">
        <v>177</v>
      </c>
      <c r="B69" s="1166" t="s">
        <v>576</v>
      </c>
      <c r="C69" s="1167"/>
      <c r="D69" s="1168"/>
      <c r="E69" s="221"/>
      <c r="F69" s="314" t="e">
        <f>MAX('Testes Mec.'!M47:M48)</f>
        <v>#DIV/0!</v>
      </c>
      <c r="G69" s="216" t="str">
        <f>IF('GABARITO DIGITAÇÃO'!B173="","Ocultar",'Testes Mec.'!B48)</f>
        <v>Ocultar</v>
      </c>
      <c r="N69" s="304"/>
      <c r="O69" s="304"/>
      <c r="P69" s="304"/>
      <c r="Q69" s="304"/>
      <c r="R69" s="304"/>
      <c r="S69" s="304"/>
      <c r="T69" s="304"/>
      <c r="U69" s="304"/>
    </row>
    <row r="70" spans="1:21" s="6" customFormat="1" ht="18" hidden="1">
      <c r="A70" s="586" t="s">
        <v>187</v>
      </c>
      <c r="B70" s="1163" t="s">
        <v>595</v>
      </c>
      <c r="C70" s="1164"/>
      <c r="D70" s="1164"/>
      <c r="E70" s="421"/>
      <c r="F70" s="612"/>
      <c r="G70" s="615"/>
      <c r="N70" s="304"/>
      <c r="O70" s="304"/>
      <c r="P70" s="304"/>
      <c r="Q70" s="304"/>
      <c r="R70" s="304"/>
      <c r="S70" s="304"/>
      <c r="T70" s="304"/>
      <c r="U70" s="304"/>
    </row>
    <row r="71" spans="1:21" s="6" customFormat="1" ht="18" hidden="1">
      <c r="A71" s="580"/>
      <c r="B71" s="419" t="s">
        <v>604</v>
      </c>
      <c r="C71" s="377"/>
      <c r="D71" s="395" t="s">
        <v>463</v>
      </c>
      <c r="E71" s="342"/>
      <c r="F71" s="611">
        <f>'Testes Mec.'!E55</f>
        <v>0</v>
      </c>
      <c r="G71" s="613" t="str">
        <f>IF('GABARITO DIGITAÇÃO'!A208="","Ocultar",'Testes Mec.'!F55)</f>
        <v>Ocultar</v>
      </c>
      <c r="N71" s="304"/>
      <c r="O71" s="304"/>
      <c r="P71" s="304"/>
      <c r="Q71" s="304"/>
      <c r="R71" s="304"/>
      <c r="S71" s="304"/>
      <c r="T71" s="304"/>
      <c r="U71" s="304"/>
    </row>
    <row r="72" spans="1:21" s="6" customFormat="1" ht="18.75" hidden="1" thickBot="1">
      <c r="A72" s="587"/>
      <c r="B72" s="420" t="s">
        <v>605</v>
      </c>
      <c r="C72" s="382"/>
      <c r="D72" s="381" t="s">
        <v>464</v>
      </c>
      <c r="E72" s="343"/>
      <c r="F72" s="499">
        <f>'Testes Mec.'!E58</f>
        <v>0</v>
      </c>
      <c r="G72" s="613" t="str">
        <f>IF('GABARITO DIGITAÇÃO'!A208="","Ocultar",'Testes Mec.'!F58)</f>
        <v>Ocultar</v>
      </c>
      <c r="N72" s="304"/>
      <c r="O72" s="304"/>
      <c r="P72" s="304"/>
      <c r="Q72" s="304"/>
      <c r="R72" s="304"/>
      <c r="S72" s="304"/>
      <c r="T72" s="304"/>
      <c r="U72" s="304"/>
    </row>
    <row r="73" spans="1:21" s="6" customFormat="1" ht="18" customHeight="1">
      <c r="A73" s="586" t="s">
        <v>451</v>
      </c>
      <c r="B73" s="571" t="s">
        <v>198</v>
      </c>
      <c r="C73" s="238" t="s">
        <v>321</v>
      </c>
      <c r="D73" s="238" t="s">
        <v>199</v>
      </c>
      <c r="E73" s="239"/>
      <c r="F73" s="231" t="s">
        <v>203</v>
      </c>
      <c r="G73" s="496"/>
      <c r="N73" s="2"/>
      <c r="O73" s="282">
        <f>IF(Vistorias!D22="ok",0,1)</f>
        <v>1</v>
      </c>
      <c r="P73" s="282" t="s">
        <v>409</v>
      </c>
    </row>
    <row r="74" spans="1:21" s="6" customFormat="1">
      <c r="A74" s="580"/>
      <c r="B74" s="572" t="s">
        <v>97</v>
      </c>
      <c r="C74" s="416">
        <f>DEP!H12</f>
        <v>10</v>
      </c>
      <c r="D74" s="240" t="s">
        <v>190</v>
      </c>
      <c r="E74" s="241"/>
      <c r="F74" s="549">
        <f>DEP!G12</f>
        <v>1.8388760330578515</v>
      </c>
      <c r="G74" s="413" t="str">
        <f t="shared" ref="G74:G83" si="3">IF(F74&gt;C74,"Acima dos níveis de referência",IF(F74=0,"Ocultar","Satisfatório"))</f>
        <v>Satisfatório</v>
      </c>
      <c r="N74" s="2"/>
      <c r="O74" s="282">
        <f>IF(Vistorias!D17="ok",0,1)</f>
        <v>0</v>
      </c>
      <c r="P74" s="282" t="s">
        <v>408</v>
      </c>
    </row>
    <row r="75" spans="1:21" s="6" customFormat="1">
      <c r="A75" s="580"/>
      <c r="B75" s="572"/>
      <c r="C75" s="416">
        <f>DEP!H13</f>
        <v>30</v>
      </c>
      <c r="D75" s="240" t="s">
        <v>191</v>
      </c>
      <c r="E75" s="241"/>
      <c r="F75" s="549">
        <f>DEP!G13</f>
        <v>4.3850057142857146</v>
      </c>
      <c r="G75" s="413" t="str">
        <f>IF(F75&gt;C75,"Acima dos níveis de referência",IF(F75=0,"Ocultar","Satisfatório"))</f>
        <v>Satisfatório</v>
      </c>
      <c r="N75" s="2"/>
      <c r="O75" s="296">
        <f>IF(Vistorias!D18="ok",0,1)</f>
        <v>1</v>
      </c>
      <c r="P75" s="282" t="s">
        <v>410</v>
      </c>
    </row>
    <row r="76" spans="1:21" s="6" customFormat="1">
      <c r="A76" s="580"/>
      <c r="B76" s="573"/>
      <c r="C76" s="416">
        <f>DEP!H14</f>
        <v>40</v>
      </c>
      <c r="D76" s="243" t="s">
        <v>192</v>
      </c>
      <c r="E76" s="241"/>
      <c r="F76" s="548">
        <f>DEP!G14</f>
        <v>6.5535749999999977</v>
      </c>
      <c r="G76" s="551" t="str">
        <f t="shared" si="3"/>
        <v>Satisfatório</v>
      </c>
      <c r="N76" s="2"/>
    </row>
    <row r="77" spans="1:21" s="6" customFormat="1" hidden="1">
      <c r="A77" s="580"/>
      <c r="B77" s="572" t="s">
        <v>334</v>
      </c>
      <c r="C77" s="418">
        <f>DEP!H19</f>
        <v>7</v>
      </c>
      <c r="D77" s="240" t="s">
        <v>190</v>
      </c>
      <c r="E77" s="241"/>
      <c r="F77" s="242">
        <f>DEP!G19</f>
        <v>0</v>
      </c>
      <c r="G77" s="550" t="str">
        <f t="shared" si="3"/>
        <v>Ocultar</v>
      </c>
      <c r="N77" s="2"/>
    </row>
    <row r="78" spans="1:21" s="6" customFormat="1" hidden="1">
      <c r="A78" s="580"/>
      <c r="B78" s="572"/>
      <c r="C78" s="417">
        <f>DEP!H20</f>
        <v>20</v>
      </c>
      <c r="D78" s="240" t="s">
        <v>191</v>
      </c>
      <c r="E78" s="241"/>
      <c r="F78" s="547">
        <f>DEP!G20</f>
        <v>0</v>
      </c>
      <c r="G78" s="551" t="str">
        <f t="shared" si="3"/>
        <v>Ocultar</v>
      </c>
      <c r="N78" s="2"/>
    </row>
    <row r="79" spans="1:21" s="6" customFormat="1">
      <c r="A79" s="580"/>
      <c r="B79" s="574" t="s">
        <v>333</v>
      </c>
      <c r="C79" s="416">
        <f>DEP!H25</f>
        <v>10</v>
      </c>
      <c r="D79" s="244" t="s">
        <v>190</v>
      </c>
      <c r="E79" s="241"/>
      <c r="F79" s="245">
        <f>DEP!G25</f>
        <v>2.5483636363636362</v>
      </c>
      <c r="G79" s="233" t="str">
        <f t="shared" si="3"/>
        <v>Satisfatório</v>
      </c>
      <c r="N79" s="2"/>
      <c r="O79" s="296">
        <f>IF(Vistorias!D19="ok",0,1)</f>
        <v>1</v>
      </c>
      <c r="P79" s="282" t="s">
        <v>412</v>
      </c>
    </row>
    <row r="80" spans="1:21" s="6" customFormat="1">
      <c r="A80" s="580"/>
      <c r="B80" s="574" t="s">
        <v>106</v>
      </c>
      <c r="C80" s="244">
        <f>DEP!H30</f>
        <v>0.4</v>
      </c>
      <c r="D80" s="244" t="s">
        <v>193</v>
      </c>
      <c r="E80" s="241"/>
      <c r="F80" s="546">
        <f>DEP!G30</f>
        <v>0.25026540630451538</v>
      </c>
      <c r="G80" s="550" t="str">
        <f t="shared" si="3"/>
        <v>Satisfatório</v>
      </c>
      <c r="N80" s="2"/>
      <c r="O80" s="296">
        <f>IF(Vistorias!D20="ok",0,1)</f>
        <v>1</v>
      </c>
      <c r="P80" s="282" t="s">
        <v>411</v>
      </c>
    </row>
    <row r="81" spans="1:18" s="6" customFormat="1">
      <c r="A81" s="580"/>
      <c r="B81" s="575"/>
      <c r="C81" s="491">
        <f>DEP!H31</f>
        <v>1.5</v>
      </c>
      <c r="D81" s="243" t="s">
        <v>191</v>
      </c>
      <c r="E81" s="241"/>
      <c r="F81" s="547">
        <f>DEP!G31</f>
        <v>0.67355697589481367</v>
      </c>
      <c r="G81" s="551" t="str">
        <f t="shared" si="3"/>
        <v>Satisfatório</v>
      </c>
      <c r="N81" s="2"/>
      <c r="O81" s="296">
        <f>IF(Vistorias!D7="ok",0,1)</f>
        <v>0</v>
      </c>
      <c r="P81" s="282" t="s">
        <v>413</v>
      </c>
    </row>
    <row r="82" spans="1:18" s="6" customFormat="1" ht="12.95" customHeight="1">
      <c r="A82" s="580"/>
      <c r="B82" s="574" t="s">
        <v>110</v>
      </c>
      <c r="C82" s="492">
        <f>DEP!H36</f>
        <v>5</v>
      </c>
      <c r="D82" s="244" t="s">
        <v>190</v>
      </c>
      <c r="E82" s="241"/>
      <c r="F82" s="546">
        <f>DEP!G36</f>
        <v>2.4804645633287601</v>
      </c>
      <c r="G82" s="550" t="str">
        <f t="shared" si="3"/>
        <v>Satisfatório</v>
      </c>
      <c r="N82" s="2"/>
      <c r="O82" s="221">
        <f>IF(Vistorias!F22="Satisfatório",0,1)</f>
        <v>0</v>
      </c>
      <c r="P82" s="282" t="s">
        <v>414</v>
      </c>
    </row>
    <row r="83" spans="1:18" s="6" customFormat="1">
      <c r="A83" s="580"/>
      <c r="B83" s="901"/>
      <c r="C83" s="884">
        <f>DEP!H37</f>
        <v>3</v>
      </c>
      <c r="D83" s="884" t="s">
        <v>191</v>
      </c>
      <c r="E83" s="902"/>
      <c r="F83" s="547">
        <f>DEP!G37</f>
        <v>1.7992858131487892</v>
      </c>
      <c r="G83" s="551" t="str">
        <f t="shared" si="3"/>
        <v>Satisfatório</v>
      </c>
      <c r="N83" s="2"/>
      <c r="O83" s="296">
        <f>IF(K4=1,0,IF(G7="Satisfatório",0,1))</f>
        <v>1</v>
      </c>
      <c r="P83" s="282" t="s">
        <v>415</v>
      </c>
    </row>
    <row r="84" spans="1:18" s="6" customFormat="1" hidden="1">
      <c r="A84" s="580"/>
      <c r="B84" s="572" t="s">
        <v>622</v>
      </c>
      <c r="C84" s="416">
        <f>DEP!H42</f>
        <v>10</v>
      </c>
      <c r="D84" s="885" t="s">
        <v>190</v>
      </c>
      <c r="E84" s="241"/>
      <c r="F84" s="548">
        <f>DEP!G42</f>
        <v>0</v>
      </c>
      <c r="G84" s="413" t="str">
        <f t="shared" ref="G84:G85" si="4">IF(F84&gt;C84,"Acima dos níveis de referência",IF(F84=0,"Ocultar","Satisfatório"))</f>
        <v>Ocultar</v>
      </c>
      <c r="N84" s="2"/>
      <c r="O84" s="886"/>
      <c r="P84" s="886"/>
    </row>
    <row r="85" spans="1:18" s="6" customFormat="1" ht="16.5" hidden="1" thickBot="1">
      <c r="A85" s="587"/>
      <c r="B85" s="897" t="s">
        <v>623</v>
      </c>
      <c r="C85" s="898">
        <f>DEP!H47</f>
        <v>0.4</v>
      </c>
      <c r="D85" s="898" t="s">
        <v>190</v>
      </c>
      <c r="E85" s="899"/>
      <c r="F85" s="833">
        <f>DEP!G47</f>
        <v>0</v>
      </c>
      <c r="G85" s="900" t="str">
        <f t="shared" si="4"/>
        <v>Ocultar</v>
      </c>
      <c r="N85" s="2"/>
      <c r="O85" s="886"/>
      <c r="P85" s="886"/>
    </row>
    <row r="86" spans="1:18" s="6" customFormat="1" ht="20.25" hidden="1" customHeight="1">
      <c r="A86" s="580" t="s">
        <v>453</v>
      </c>
      <c r="B86" s="298" t="s">
        <v>452</v>
      </c>
      <c r="C86"/>
      <c r="D86"/>
      <c r="E86"/>
      <c r="F86"/>
      <c r="G86" s="896"/>
      <c r="N86" s="2"/>
      <c r="O86" s="296">
        <f>IF(K4=1,0,IF(G8="Satisfatório",0,1))</f>
        <v>1</v>
      </c>
      <c r="P86" s="282" t="s">
        <v>416</v>
      </c>
    </row>
    <row r="87" spans="1:18" s="6" customFormat="1" ht="15" hidden="1">
      <c r="A87" s="580" t="s">
        <v>223</v>
      </c>
      <c r="B87" s="820" t="s">
        <v>596</v>
      </c>
      <c r="C87" s="821"/>
      <c r="D87" s="821"/>
      <c r="E87" s="821"/>
      <c r="F87" s="821"/>
      <c r="G87" s="822" t="e">
        <f>IF(Escopia!N12="Valor de referência","Valor de referência",IF(Escopia!N12="Verificar"," ** RAD ** Verificar !!","Dentro da Linha de Base"))</f>
        <v>#DIV/0!</v>
      </c>
      <c r="O87" s="296">
        <f>IF(K4=1,0,IF(Vistorias!G37="Verificar",1,0))</f>
        <v>0</v>
      </c>
      <c r="P87" s="282" t="s">
        <v>417</v>
      </c>
    </row>
    <row r="88" spans="1:18" s="266" customFormat="1" hidden="1" thickBot="1">
      <c r="A88" s="587" t="s">
        <v>222</v>
      </c>
      <c r="B88" s="818" t="s">
        <v>597</v>
      </c>
      <c r="C88" s="819"/>
      <c r="D88" s="816"/>
      <c r="E88" s="816"/>
      <c r="F88" s="817"/>
      <c r="G88" s="599" t="e">
        <f>IF(Escopia!P12="Valor de referência","Valor de referência",IF(Escopia!P12="Verificar"," ** RAD ** Verificar !!","Dentro da Linha de Base"))</f>
        <v>#DIV/0!</v>
      </c>
      <c r="M88" s="6"/>
      <c r="O88" s="296">
        <f>IF(K4=1,0,IF(Vistorias!G37="Providenciar",1,0))</f>
        <v>0</v>
      </c>
      <c r="P88" s="282" t="s">
        <v>418</v>
      </c>
      <c r="Q88" s="6"/>
      <c r="R88" s="6"/>
    </row>
    <row r="89" spans="1:18" s="6" customFormat="1" ht="18" hidden="1">
      <c r="A89" s="580" t="s">
        <v>455</v>
      </c>
      <c r="B89" s="298" t="s">
        <v>454</v>
      </c>
      <c r="C89" s="298"/>
      <c r="D89" s="497"/>
      <c r="E89" s="340"/>
      <c r="F89" s="567"/>
      <c r="G89" s="565"/>
      <c r="O89" s="296">
        <f>IF(K4=1,0,IF(Vistorias!G43="ok",0,1))</f>
        <v>0</v>
      </c>
      <c r="P89" s="282" t="s">
        <v>419</v>
      </c>
      <c r="R89" s="266"/>
    </row>
    <row r="90" spans="1:18" s="6" customFormat="1" ht="15" hidden="1" customHeight="1">
      <c r="A90" s="414"/>
      <c r="B90" s="1156" t="s">
        <v>575</v>
      </c>
      <c r="C90" s="1157"/>
      <c r="D90" s="1157"/>
      <c r="E90" s="340"/>
      <c r="F90" s="566">
        <f>Escopia!D15</f>
        <v>0</v>
      </c>
      <c r="G90" s="565" t="str">
        <f>IF(F90&lt;3,"Verificar","Satisfatório")</f>
        <v>Verificar</v>
      </c>
      <c r="O90" s="296">
        <f>IF(K4=1,0,IF(Vistorias!G39="ok",0,1))</f>
        <v>0</v>
      </c>
      <c r="P90" s="282" t="s">
        <v>420</v>
      </c>
    </row>
    <row r="91" spans="1:18" s="6" customFormat="1" ht="15" hidden="1" customHeight="1" thickBot="1">
      <c r="A91" s="415"/>
      <c r="B91" s="1158"/>
      <c r="C91" s="1159"/>
      <c r="D91" s="1159"/>
      <c r="E91" s="341"/>
      <c r="F91" s="569"/>
      <c r="G91" s="568"/>
      <c r="O91" s="221">
        <f>IF(Vistorias!G41="ok",0,1)</f>
        <v>0</v>
      </c>
      <c r="P91" s="282" t="s">
        <v>421</v>
      </c>
    </row>
    <row r="92" spans="1:18" ht="18" hidden="1">
      <c r="A92" s="580" t="s">
        <v>459</v>
      </c>
      <c r="B92" s="298" t="s">
        <v>456</v>
      </c>
      <c r="C92" s="298"/>
      <c r="D92" s="10"/>
      <c r="E92" s="340"/>
      <c r="F92" s="614"/>
      <c r="G92" s="565"/>
      <c r="M92" s="6"/>
      <c r="O92" s="296">
        <f>IF(G74="Acima dos valores de referência",1,IF(G75="Acima dos valores de referência",1,IF(G76="Acima dos valores de referência",1,IF(G77="Acima dos valores de referência",1,IF(G78="Acima dos valores de referência",1,IF(G79="Acima dos valores de referência",1,IF(G80="Acima dos valores de referência",1,IF(G81="Acima dos valores de referência",1,IF(G82="Acima dos valores de referência",1,IF(G83="Acima dos valores de referência",1,0))))))))))</f>
        <v>0</v>
      </c>
      <c r="P92" s="282" t="s">
        <v>422</v>
      </c>
      <c r="Q92" s="6"/>
      <c r="R92" s="6"/>
    </row>
    <row r="93" spans="1:18" ht="24" hidden="1" customHeight="1">
      <c r="A93" s="580"/>
      <c r="B93" s="1160" t="s">
        <v>485</v>
      </c>
      <c r="C93" s="1161"/>
      <c r="D93" s="620" t="s">
        <v>457</v>
      </c>
      <c r="E93" s="340"/>
      <c r="F93" s="616">
        <f>Escopia!D22</f>
        <v>0</v>
      </c>
      <c r="G93" s="610" t="str">
        <f>IF(F93&lt;24,"Verificar","Satisfatório")</f>
        <v>Verificar</v>
      </c>
      <c r="O93" s="344">
        <f>IF(G40="Abaixo do valor de referência",1,0)</f>
        <v>0</v>
      </c>
      <c r="P93" s="282" t="s">
        <v>423</v>
      </c>
      <c r="R93" s="6"/>
    </row>
    <row r="94" spans="1:18" ht="22.5" hidden="1" customHeight="1" thickBot="1">
      <c r="A94" s="587"/>
      <c r="B94" s="1162"/>
      <c r="C94" s="1162"/>
      <c r="D94" s="621" t="s">
        <v>458</v>
      </c>
      <c r="E94" s="340"/>
      <c r="F94" s="617">
        <f>Escopia!D23</f>
        <v>0</v>
      </c>
      <c r="G94" s="568" t="str">
        <f>IF(F94&lt;20,"Verificar","Satisfatório")</f>
        <v>Verificar</v>
      </c>
      <c r="O94" s="344">
        <f>IF(G60="Satisfatório",0,1)</f>
        <v>0</v>
      </c>
      <c r="P94" s="282" t="s">
        <v>424</v>
      </c>
    </row>
    <row r="95" spans="1:18" ht="18" hidden="1">
      <c r="A95" s="586" t="s">
        <v>461</v>
      </c>
      <c r="B95" s="298" t="s">
        <v>460</v>
      </c>
      <c r="C95" s="298"/>
      <c r="D95" s="796"/>
      <c r="E95" s="340"/>
      <c r="F95" s="828" t="s">
        <v>445</v>
      </c>
      <c r="G95" s="824" t="str">
        <f>IF(F96&gt;87,"Verificar",IF(F96&lt;50,"Satisfatório","Aceitável"))</f>
        <v>Satisfatório</v>
      </c>
      <c r="H95" s="284"/>
    </row>
    <row r="96" spans="1:18" ht="17.25" hidden="1" customHeight="1" thickBot="1">
      <c r="A96" s="580" t="s">
        <v>223</v>
      </c>
      <c r="B96" s="618" t="s">
        <v>598</v>
      </c>
      <c r="C96" s="619"/>
      <c r="D96" s="826"/>
      <c r="E96" s="341"/>
      <c r="F96" s="825">
        <f>Escopia!F27</f>
        <v>0</v>
      </c>
      <c r="G96" s="823" t="str">
        <f>CONCATENATE(Escopia!D6," ",TEXT(Escopia!F30,"##,00")," mGy/min")</f>
        <v>Ref. 2017 ,00 mGy/min</v>
      </c>
      <c r="H96" s="285"/>
    </row>
    <row r="97" spans="1:15" ht="17.25" hidden="1" customHeight="1" thickBot="1">
      <c r="A97" s="587" t="s">
        <v>222</v>
      </c>
      <c r="B97" s="818" t="s">
        <v>573</v>
      </c>
      <c r="C97" s="819"/>
      <c r="D97" s="819"/>
      <c r="E97" s="341"/>
      <c r="F97" s="827">
        <f>Escopia!F33</f>
        <v>0</v>
      </c>
      <c r="G97" s="832" t="str">
        <f>CONCATENATE(Escopia!D6," ",TEXT(Escopia!F36,"##,00")," mGy/min")</f>
        <v>Ref. 2017 ,00 mGy/min</v>
      </c>
      <c r="H97" s="285"/>
    </row>
    <row r="98" spans="1:15" ht="20.25" hidden="1" customHeight="1">
      <c r="A98" s="586" t="s">
        <v>462</v>
      </c>
      <c r="B98" s="829" t="s">
        <v>602</v>
      </c>
      <c r="C98" s="796"/>
      <c r="D98" s="796"/>
      <c r="E98" s="831"/>
      <c r="F98" s="828" t="s">
        <v>445</v>
      </c>
      <c r="H98" s="285"/>
    </row>
    <row r="99" spans="1:15" ht="17.25" hidden="1" customHeight="1">
      <c r="A99" s="414"/>
      <c r="B99" s="618" t="s">
        <v>606</v>
      </c>
      <c r="C99" s="589"/>
      <c r="D99" s="589"/>
      <c r="E99" s="830"/>
      <c r="F99" s="232">
        <f>Escopia!F41</f>
        <v>0</v>
      </c>
      <c r="G99" s="823" t="str">
        <f>CONCATENATE(Escopia!D6," ",TEXT(Escopia!F44,"##,00")," mGy/min")</f>
        <v>Ref. 2017 ,00 mGy/min</v>
      </c>
      <c r="H99" s="285"/>
    </row>
    <row r="100" spans="1:15" ht="17.25" hidden="1" customHeight="1" thickBot="1">
      <c r="A100" s="415"/>
      <c r="B100" s="818" t="s">
        <v>573</v>
      </c>
      <c r="C100" s="797"/>
      <c r="D100" s="797"/>
      <c r="E100" s="341"/>
      <c r="F100" s="833">
        <f>Escopia!F47</f>
        <v>0</v>
      </c>
      <c r="G100" s="246" t="str">
        <f>CONCATENATE(Escopia!D6," ",TEXT(Escopia!F50,"##,00")," mGy/min")</f>
        <v>Ref. 2017 ,00 mGy/min</v>
      </c>
      <c r="H100" s="285"/>
    </row>
    <row r="101" spans="1:15">
      <c r="A101" s="2"/>
      <c r="F101" s="2"/>
      <c r="H101" s="285"/>
    </row>
    <row r="102" spans="1:15" ht="27.75">
      <c r="A102" s="1155" t="s">
        <v>51</v>
      </c>
      <c r="B102" s="1155"/>
      <c r="C102" s="1155"/>
      <c r="D102" s="1155"/>
      <c r="E102" s="1155"/>
      <c r="F102" s="1155"/>
      <c r="G102" s="1155"/>
      <c r="H102" s="283"/>
      <c r="O102" s="344"/>
    </row>
    <row r="103" spans="1:15">
      <c r="A103" s="411"/>
      <c r="B103" s="266"/>
      <c r="C103" s="266"/>
      <c r="D103" s="266"/>
      <c r="E103" s="266"/>
      <c r="F103" s="266"/>
      <c r="G103" s="266"/>
      <c r="H103" s="283"/>
    </row>
    <row r="104" spans="1:15" ht="20.100000000000001" customHeight="1">
      <c r="A104" s="1129" t="str">
        <f>CONCATENATE("O equipamento de ",Capa!C14," ",Capa!C16,", instalado no ",Capa!C6, " foi avaliado de acordo com as determinações da portaria 453 da Secretaria de Vigilância Sanitária de 01/06/1998 e RE nº 64 de 04/04/2003 referente aos testes de Controle de Qualidade.")</f>
        <v>O equipamento de Raios X Philips, instalado no Grupo Fleury - Unidade Braz Leme foi avaliado de acordo com as determinações da portaria 453 da Secretaria de Vigilância Sanitária de 01/06/1998 e RE nº 64 de 04/04/2003 referente aos testes de Controle de Qualidade.</v>
      </c>
      <c r="B104" s="1129"/>
      <c r="C104" s="1129"/>
      <c r="D104" s="1129"/>
      <c r="E104" s="1129"/>
      <c r="F104" s="1129"/>
      <c r="G104" s="1129"/>
    </row>
    <row r="105" spans="1:15" ht="20.100000000000001" customHeight="1">
      <c r="A105" s="1129"/>
      <c r="B105" s="1129"/>
      <c r="C105" s="1129"/>
      <c r="D105" s="1129"/>
      <c r="E105" s="1129"/>
      <c r="F105" s="1129"/>
      <c r="G105" s="1129"/>
    </row>
    <row r="106" spans="1:15" ht="20.100000000000001" customHeight="1">
      <c r="A106" s="1129"/>
      <c r="B106" s="1129"/>
      <c r="C106" s="1129"/>
      <c r="D106" s="1129"/>
      <c r="E106" s="1129"/>
      <c r="F106" s="1129"/>
      <c r="G106" s="1129"/>
    </row>
    <row r="107" spans="1:15" ht="20.100000000000001" customHeight="1">
      <c r="A107" s="1129"/>
      <c r="B107" s="1129"/>
      <c r="C107" s="1129"/>
      <c r="D107" s="1129"/>
      <c r="E107" s="1129"/>
      <c r="F107" s="1129"/>
      <c r="G107" s="1129"/>
    </row>
    <row r="108" spans="1:15" ht="60.95" customHeight="1">
      <c r="A108" s="1128"/>
      <c r="B108" s="1128"/>
      <c r="C108" s="1128"/>
      <c r="D108" s="1128"/>
      <c r="E108" s="1128"/>
      <c r="F108" s="1128"/>
      <c r="G108" s="1128"/>
    </row>
    <row r="109" spans="1:15" ht="60.95" customHeight="1">
      <c r="A109" s="1128"/>
      <c r="B109" s="1128"/>
      <c r="C109" s="1128"/>
      <c r="D109" s="1128"/>
      <c r="E109" s="1128"/>
      <c r="F109" s="1128"/>
      <c r="G109" s="1128"/>
    </row>
    <row r="110" spans="1:15" ht="60.95" customHeight="1">
      <c r="A110" s="1128"/>
      <c r="B110" s="1128"/>
      <c r="C110" s="1128"/>
      <c r="D110" s="1128"/>
      <c r="E110" s="1128"/>
      <c r="F110" s="1128"/>
      <c r="G110" s="1128"/>
    </row>
    <row r="111" spans="1:15" ht="60.95" customHeight="1">
      <c r="A111" s="1128"/>
      <c r="B111" s="1128"/>
      <c r="C111" s="1128"/>
      <c r="D111" s="1128"/>
      <c r="E111" s="1128"/>
      <c r="F111" s="1128"/>
      <c r="G111" s="1128"/>
    </row>
    <row r="112" spans="1:15" ht="60.95" customHeight="1">
      <c r="A112" s="1128"/>
      <c r="B112" s="1128"/>
      <c r="C112" s="1128"/>
      <c r="D112" s="1128"/>
      <c r="E112" s="1128"/>
      <c r="F112" s="1128"/>
      <c r="G112" s="1128"/>
    </row>
    <row r="113" spans="1:7" ht="60.95" customHeight="1">
      <c r="A113" s="1128"/>
      <c r="B113" s="1128"/>
      <c r="C113" s="1128"/>
      <c r="D113" s="1128"/>
      <c r="E113" s="1128"/>
      <c r="F113" s="1128"/>
      <c r="G113" s="1128"/>
    </row>
    <row r="114" spans="1:7" ht="60.95" customHeight="1">
      <c r="A114" s="1128"/>
      <c r="B114" s="1128"/>
      <c r="C114" s="1128"/>
      <c r="D114" s="1128"/>
      <c r="E114" s="1128"/>
      <c r="F114" s="1128"/>
      <c r="G114" s="1128"/>
    </row>
    <row r="115" spans="1:7" ht="60.95" customHeight="1">
      <c r="A115" s="1128"/>
      <c r="B115" s="1128"/>
      <c r="C115" s="1128"/>
      <c r="D115" s="1128"/>
      <c r="E115" s="1128"/>
      <c r="F115" s="1128"/>
      <c r="G115" s="1128"/>
    </row>
    <row r="116" spans="1:7" ht="60.95" customHeight="1">
      <c r="A116" s="1128"/>
      <c r="B116" s="1128"/>
      <c r="C116" s="1128"/>
      <c r="D116" s="1128"/>
      <c r="E116" s="1128"/>
      <c r="F116" s="1128"/>
      <c r="G116" s="1128"/>
    </row>
  </sheetData>
  <mergeCells count="49">
    <mergeCell ref="A102:G102"/>
    <mergeCell ref="B90:D91"/>
    <mergeCell ref="B93:C94"/>
    <mergeCell ref="B70:D70"/>
    <mergeCell ref="B62:D62"/>
    <mergeCell ref="F64:F65"/>
    <mergeCell ref="G64:G65"/>
    <mergeCell ref="B66:D66"/>
    <mergeCell ref="B64:D64"/>
    <mergeCell ref="B65:D65"/>
    <mergeCell ref="B69:D69"/>
    <mergeCell ref="A114:G114"/>
    <mergeCell ref="A115:G115"/>
    <mergeCell ref="A116:G116"/>
    <mergeCell ref="A109:G109"/>
    <mergeCell ref="A110:G110"/>
    <mergeCell ref="A111:G111"/>
    <mergeCell ref="A112:G112"/>
    <mergeCell ref="A113:G113"/>
    <mergeCell ref="B3:D3"/>
    <mergeCell ref="B36:D36"/>
    <mergeCell ref="B38:D38"/>
    <mergeCell ref="B40:D40"/>
    <mergeCell ref="B39:D39"/>
    <mergeCell ref="B37:D37"/>
    <mergeCell ref="C7:D7"/>
    <mergeCell ref="B24:B25"/>
    <mergeCell ref="B58:G58"/>
    <mergeCell ref="F38:F39"/>
    <mergeCell ref="G38:G39"/>
    <mergeCell ref="F36:F37"/>
    <mergeCell ref="F40:F41"/>
    <mergeCell ref="G40:G41"/>
    <mergeCell ref="B1:G1"/>
    <mergeCell ref="A108:G108"/>
    <mergeCell ref="A104:G107"/>
    <mergeCell ref="B41:D41"/>
    <mergeCell ref="B57:D57"/>
    <mergeCell ref="F60:F61"/>
    <mergeCell ref="F56:F57"/>
    <mergeCell ref="G62:G63"/>
    <mergeCell ref="B63:D63"/>
    <mergeCell ref="G56:G57"/>
    <mergeCell ref="B68:D68"/>
    <mergeCell ref="G60:G61"/>
    <mergeCell ref="B60:D60"/>
    <mergeCell ref="B61:D61"/>
    <mergeCell ref="F62:F63"/>
    <mergeCell ref="G36:G37"/>
  </mergeCells>
  <phoneticPr fontId="21" type="noConversion"/>
  <printOptions horizontalCentered="1"/>
  <pageMargins left="0.78740157480314965" right="0.78740157480314965" top="1.7716535433070868" bottom="0.98425196850393704" header="0.51181102362204722" footer="0.51181102362204722"/>
  <pageSetup paperSize="9" scale="53" orientation="portrait" r:id="rId1"/>
  <headerFooter alignWithMargins="0">
    <oddFooter>&amp;L&amp;8
&amp;F &amp;R______________
Renato  Dimenstein
Físico Responsável</oddFooter>
  </headerFooter>
  <rowBreaks count="1" manualBreakCount="1">
    <brk id="59" min="21" max="27" man="1"/>
  </rowBreaks>
  <drawing r:id="rId2"/>
  <legacyDrawing r:id="rId3"/>
  <legacyDrawingHF r:id="rId4"/>
  <controls>
    <mc:AlternateContent xmlns:mc="http://schemas.openxmlformats.org/markup-compatibility/2006">
      <mc:Choice Requires="x14">
        <control shapeId="24580" r:id="rId5" name="GeradorPendencias">
          <controlPr defaultSize="0" print="0" autoFill="0" autoLine="0" r:id="rId6">
            <anchor moveWithCells="1">
              <from>
                <xdr:col>16</xdr:col>
                <xdr:colOff>76200</xdr:colOff>
                <xdr:row>103</xdr:row>
                <xdr:rowOff>38100</xdr:rowOff>
              </from>
              <to>
                <xdr:col>18</xdr:col>
                <xdr:colOff>161925</xdr:colOff>
                <xdr:row>105</xdr:row>
                <xdr:rowOff>142875</xdr:rowOff>
              </to>
            </anchor>
          </controlPr>
        </control>
      </mc:Choice>
      <mc:Fallback>
        <control shapeId="24580" r:id="rId5" name="GeradorPendencias"/>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Q71"/>
  <sheetViews>
    <sheetView view="pageBreakPreview" zoomScaleNormal="100" zoomScaleSheetLayoutView="100" workbookViewId="0">
      <selection activeCell="N18" sqref="N18"/>
    </sheetView>
  </sheetViews>
  <sheetFormatPr defaultRowHeight="12.75"/>
  <cols>
    <col min="1" max="1" width="12.42578125" customWidth="1"/>
    <col min="2" max="2" width="8.42578125" customWidth="1"/>
    <col min="3" max="3" width="11.7109375" bestFit="1" customWidth="1"/>
    <col min="4" max="4" width="5.42578125" style="179" customWidth="1"/>
    <col min="5" max="5" width="5.28515625" customWidth="1"/>
    <col min="6" max="6" width="14.42578125" customWidth="1"/>
    <col min="7" max="7" width="6.42578125" customWidth="1"/>
    <col min="8" max="8" width="10.7109375" customWidth="1"/>
    <col min="9" max="9" width="11.7109375" bestFit="1" customWidth="1"/>
    <col min="10" max="10" width="12.7109375" customWidth="1"/>
    <col min="11" max="11" width="9" customWidth="1"/>
    <col min="12" max="12" width="10.28515625" customWidth="1"/>
  </cols>
  <sheetData>
    <row r="1" spans="1:17">
      <c r="A1" s="178" t="s">
        <v>287</v>
      </c>
      <c r="F1" s="179"/>
    </row>
    <row r="2" spans="1:17">
      <c r="F2" s="179"/>
    </row>
    <row r="3" spans="1:17" ht="15.75">
      <c r="A3" t="s">
        <v>244</v>
      </c>
      <c r="B3">
        <v>30</v>
      </c>
      <c r="D3" s="179" t="s">
        <v>189</v>
      </c>
      <c r="F3" s="192">
        <v>200</v>
      </c>
      <c r="G3" s="1169" t="s">
        <v>245</v>
      </c>
      <c r="H3" s="1169"/>
      <c r="L3" s="201" t="s">
        <v>293</v>
      </c>
    </row>
    <row r="4" spans="1:17" ht="15">
      <c r="A4" t="s">
        <v>246</v>
      </c>
      <c r="B4">
        <f>2*B3</f>
        <v>60</v>
      </c>
      <c r="D4" s="179" t="s">
        <v>247</v>
      </c>
      <c r="F4" s="192">
        <v>5</v>
      </c>
      <c r="G4" s="193">
        <v>21.4</v>
      </c>
      <c r="H4" t="s">
        <v>248</v>
      </c>
      <c r="L4" s="53"/>
    </row>
    <row r="5" spans="1:17" ht="18">
      <c r="A5" t="s">
        <v>249</v>
      </c>
      <c r="B5">
        <v>0.2</v>
      </c>
      <c r="C5" t="s">
        <v>250</v>
      </c>
      <c r="F5" s="194" t="s">
        <v>251</v>
      </c>
      <c r="L5" s="202" t="s">
        <v>294</v>
      </c>
      <c r="M5" s="203">
        <v>0.5</v>
      </c>
      <c r="N5" s="198"/>
    </row>
    <row r="6" spans="1:17" ht="18.75" thickBot="1">
      <c r="A6" t="s">
        <v>252</v>
      </c>
      <c r="B6" s="193">
        <f>B5/60*B4*F4</f>
        <v>1</v>
      </c>
      <c r="F6" s="195">
        <f>F3*B6</f>
        <v>200</v>
      </c>
      <c r="L6" s="204" t="s">
        <v>295</v>
      </c>
      <c r="M6" s="203">
        <v>0.25</v>
      </c>
      <c r="N6" s="198"/>
    </row>
    <row r="7" spans="1:17" ht="15">
      <c r="A7" s="1170" t="s">
        <v>253</v>
      </c>
      <c r="B7" s="1170" t="s">
        <v>254</v>
      </c>
      <c r="C7" s="1170" t="s">
        <v>255</v>
      </c>
      <c r="D7" s="1170" t="s">
        <v>256</v>
      </c>
      <c r="E7" s="1170" t="s">
        <v>257</v>
      </c>
      <c r="F7" s="1170" t="s">
        <v>258</v>
      </c>
      <c r="G7" s="180" t="s">
        <v>259</v>
      </c>
      <c r="H7" s="180" t="s">
        <v>288</v>
      </c>
      <c r="I7" s="180" t="s">
        <v>260</v>
      </c>
      <c r="J7" s="1170" t="s">
        <v>369</v>
      </c>
      <c r="L7" s="53"/>
    </row>
    <row r="8" spans="1:17" ht="25.5" thickBot="1">
      <c r="A8" s="1171"/>
      <c r="B8" s="1171"/>
      <c r="C8" s="1171"/>
      <c r="D8" s="1171"/>
      <c r="E8" s="1171"/>
      <c r="F8" s="1171"/>
      <c r="G8" s="181" t="s">
        <v>261</v>
      </c>
      <c r="H8" s="181" t="s">
        <v>289</v>
      </c>
      <c r="I8" s="181" t="s">
        <v>290</v>
      </c>
      <c r="J8" s="1171"/>
      <c r="L8" s="201" t="s">
        <v>296</v>
      </c>
    </row>
    <row r="9" spans="1:17" ht="15.75" thickBot="1">
      <c r="A9" s="272" t="s">
        <v>406</v>
      </c>
      <c r="B9" s="183" t="s">
        <v>262</v>
      </c>
      <c r="C9" s="184" t="s">
        <v>337</v>
      </c>
      <c r="D9" s="188">
        <v>1</v>
      </c>
      <c r="E9" s="188">
        <v>0.25</v>
      </c>
      <c r="F9" s="185" t="s">
        <v>263</v>
      </c>
      <c r="G9" s="196">
        <v>1</v>
      </c>
      <c r="H9" s="186">
        <f>((G9*0.000001*60)/($F$3*$B$5))</f>
        <v>1.4999999999999998E-6</v>
      </c>
      <c r="I9" s="186">
        <f t="shared" ref="I9:I23" si="0">H9*$F$6*E9*D9*50</f>
        <v>3.7499999999999999E-3</v>
      </c>
      <c r="J9" s="183" t="str">
        <f>IF(I9&lt;=0.5,"Sim","Verificar")</f>
        <v>Sim</v>
      </c>
      <c r="L9" s="53"/>
    </row>
    <row r="10" spans="1:17" ht="15.75" thickBot="1">
      <c r="A10" s="182"/>
      <c r="B10" s="183" t="s">
        <v>264</v>
      </c>
      <c r="C10" s="187"/>
      <c r="D10" s="188">
        <v>1</v>
      </c>
      <c r="E10" s="188">
        <v>0.25</v>
      </c>
      <c r="F10" s="185" t="s">
        <v>263</v>
      </c>
      <c r="G10" s="196">
        <v>1</v>
      </c>
      <c r="H10" s="186">
        <f t="shared" ref="H10:H55" si="1">((G10*0.000001*60)/($F$3*$B$5))</f>
        <v>1.4999999999999998E-6</v>
      </c>
      <c r="I10" s="186">
        <f t="shared" si="0"/>
        <v>3.7499999999999999E-3</v>
      </c>
      <c r="J10" s="183" t="str">
        <f t="shared" ref="J10:J70" si="2">IF(I10&lt;=0.5,"Sim","Verificar")</f>
        <v>Sim</v>
      </c>
      <c r="L10" s="202" t="s">
        <v>297</v>
      </c>
      <c r="M10" s="202" t="s">
        <v>298</v>
      </c>
      <c r="N10" s="202"/>
      <c r="O10" s="202"/>
      <c r="P10" s="202"/>
      <c r="Q10" s="205">
        <v>1</v>
      </c>
    </row>
    <row r="11" spans="1:17" ht="15.75" thickBot="1">
      <c r="A11" s="182"/>
      <c r="B11" s="183" t="s">
        <v>265</v>
      </c>
      <c r="C11" s="187"/>
      <c r="D11" s="188">
        <v>1</v>
      </c>
      <c r="E11" s="188">
        <v>0.25</v>
      </c>
      <c r="F11" s="185" t="s">
        <v>263</v>
      </c>
      <c r="G11" s="196">
        <v>1</v>
      </c>
      <c r="H11" s="186">
        <f t="shared" si="1"/>
        <v>1.4999999999999998E-6</v>
      </c>
      <c r="I11" s="186">
        <f t="shared" si="0"/>
        <v>3.7499999999999999E-3</v>
      </c>
      <c r="J11" s="183" t="str">
        <f t="shared" si="2"/>
        <v>Sim</v>
      </c>
      <c r="L11" s="202"/>
      <c r="M11" s="202"/>
      <c r="N11" s="202"/>
      <c r="O11" s="202"/>
      <c r="P11" s="202"/>
      <c r="Q11" s="205"/>
    </row>
    <row r="12" spans="1:17" ht="15.75" thickBot="1">
      <c r="A12" s="182"/>
      <c r="B12" s="183" t="s">
        <v>390</v>
      </c>
      <c r="C12" s="187" t="s">
        <v>267</v>
      </c>
      <c r="D12" s="188">
        <v>1</v>
      </c>
      <c r="E12" s="188">
        <v>0.25</v>
      </c>
      <c r="F12" s="185" t="s">
        <v>263</v>
      </c>
      <c r="G12" s="196">
        <v>1</v>
      </c>
      <c r="H12" s="186">
        <f t="shared" si="1"/>
        <v>1.4999999999999998E-6</v>
      </c>
      <c r="I12" s="186">
        <f t="shared" si="0"/>
        <v>3.7499999999999999E-3</v>
      </c>
      <c r="J12" s="183" t="str">
        <f t="shared" si="2"/>
        <v>Sim</v>
      </c>
      <c r="L12" s="202"/>
      <c r="M12" s="202"/>
      <c r="N12" s="202"/>
      <c r="O12" s="202"/>
      <c r="P12" s="202"/>
      <c r="Q12" s="205"/>
    </row>
    <row r="13" spans="1:17" ht="15.75" thickBot="1">
      <c r="A13" s="182"/>
      <c r="B13" s="183" t="s">
        <v>389</v>
      </c>
      <c r="C13" s="187"/>
      <c r="D13" s="188">
        <v>1</v>
      </c>
      <c r="E13" s="188">
        <v>0.25</v>
      </c>
      <c r="F13" s="185" t="s">
        <v>263</v>
      </c>
      <c r="G13" s="196">
        <v>1</v>
      </c>
      <c r="H13" s="186">
        <f t="shared" si="1"/>
        <v>1.4999999999999998E-6</v>
      </c>
      <c r="I13" s="186">
        <f t="shared" si="0"/>
        <v>3.7499999999999999E-3</v>
      </c>
      <c r="J13" s="183" t="str">
        <f t="shared" si="2"/>
        <v>Sim</v>
      </c>
      <c r="L13" s="202" t="s">
        <v>299</v>
      </c>
      <c r="M13" s="202" t="s">
        <v>300</v>
      </c>
      <c r="N13" s="202"/>
      <c r="O13" s="202"/>
      <c r="P13" s="202"/>
      <c r="Q13" s="205">
        <v>0.25</v>
      </c>
    </row>
    <row r="14" spans="1:17" ht="15.75" thickBot="1">
      <c r="A14" s="182"/>
      <c r="B14" s="183" t="s">
        <v>394</v>
      </c>
      <c r="C14" s="187"/>
      <c r="D14" s="188">
        <v>1</v>
      </c>
      <c r="E14" s="188">
        <v>0.25</v>
      </c>
      <c r="F14" s="185" t="s">
        <v>263</v>
      </c>
      <c r="G14" s="196">
        <v>1</v>
      </c>
      <c r="H14" s="186">
        <f>((G14*0.000001*60)/($F$3*$B$5))</f>
        <v>1.4999999999999998E-6</v>
      </c>
      <c r="I14" s="186">
        <f t="shared" si="0"/>
        <v>3.7499999999999999E-3</v>
      </c>
      <c r="J14" s="183" t="str">
        <f>IF(I14&lt;=0.5,"Sim","Verificar")</f>
        <v>Sim</v>
      </c>
      <c r="L14" s="209"/>
      <c r="M14" s="209"/>
      <c r="N14" s="209"/>
      <c r="O14" s="209"/>
      <c r="P14" s="209"/>
      <c r="Q14" s="271"/>
    </row>
    <row r="15" spans="1:17" ht="15.75" thickBot="1">
      <c r="A15" s="182"/>
      <c r="B15" s="183" t="s">
        <v>395</v>
      </c>
      <c r="C15" s="187"/>
      <c r="D15" s="188">
        <v>1</v>
      </c>
      <c r="E15" s="188">
        <v>0.25</v>
      </c>
      <c r="F15" s="185" t="s">
        <v>263</v>
      </c>
      <c r="G15" s="196">
        <v>1</v>
      </c>
      <c r="H15" s="186">
        <f>((G15*0.000001*60)/($F$3*$B$5))</f>
        <v>1.4999999999999998E-6</v>
      </c>
      <c r="I15" s="186">
        <f t="shared" si="0"/>
        <v>3.7499999999999999E-3</v>
      </c>
      <c r="J15" s="183" t="str">
        <f>IF(I15&lt;=0.5,"Sim","Verificar")</f>
        <v>Sim</v>
      </c>
      <c r="L15" s="209"/>
      <c r="M15" s="209"/>
      <c r="N15" s="209"/>
      <c r="O15" s="209"/>
      <c r="P15" s="209"/>
      <c r="Q15" s="271"/>
    </row>
    <row r="16" spans="1:17" ht="15.75" thickBot="1">
      <c r="A16" s="182"/>
      <c r="B16" s="183" t="s">
        <v>396</v>
      </c>
      <c r="C16" s="187"/>
      <c r="D16" s="188">
        <v>1</v>
      </c>
      <c r="E16" s="188">
        <v>0.25</v>
      </c>
      <c r="F16" s="185" t="s">
        <v>263</v>
      </c>
      <c r="G16" s="196">
        <v>1</v>
      </c>
      <c r="H16" s="186">
        <f>((G16*0.000001*60)/($F$3*$B$5))</f>
        <v>1.4999999999999998E-6</v>
      </c>
      <c r="I16" s="186">
        <f t="shared" si="0"/>
        <v>3.7499999999999999E-3</v>
      </c>
      <c r="J16" s="183" t="str">
        <f>IF(I16&lt;=0.5,"Sim","Verificar")</f>
        <v>Sim</v>
      </c>
      <c r="L16" s="209"/>
      <c r="M16" s="209"/>
      <c r="N16" s="209"/>
      <c r="O16" s="209"/>
      <c r="P16" s="209"/>
      <c r="Q16" s="271"/>
    </row>
    <row r="17" spans="1:17" s="280" customFormat="1" ht="15.75" thickBot="1">
      <c r="A17" s="273" t="s">
        <v>407</v>
      </c>
      <c r="B17" s="274" t="s">
        <v>266</v>
      </c>
      <c r="C17" s="275" t="s">
        <v>267</v>
      </c>
      <c r="D17" s="276">
        <v>0.06</v>
      </c>
      <c r="E17" s="276">
        <v>0.25</v>
      </c>
      <c r="F17" s="277" t="s">
        <v>263</v>
      </c>
      <c r="G17" s="278">
        <v>1</v>
      </c>
      <c r="H17" s="279">
        <f t="shared" si="1"/>
        <v>1.4999999999999998E-6</v>
      </c>
      <c r="I17" s="279">
        <f t="shared" si="0"/>
        <v>2.2499999999999997E-4</v>
      </c>
      <c r="J17" s="274" t="str">
        <f t="shared" si="2"/>
        <v>Sim</v>
      </c>
      <c r="L17" s="281"/>
    </row>
    <row r="18" spans="1:17" ht="15.75" thickBot="1">
      <c r="A18" s="182"/>
      <c r="B18" s="183" t="s">
        <v>268</v>
      </c>
      <c r="C18" s="184"/>
      <c r="D18" s="276">
        <v>0.06</v>
      </c>
      <c r="E18" s="276">
        <v>0.25</v>
      </c>
      <c r="F18" s="185" t="s">
        <v>263</v>
      </c>
      <c r="G18" s="196">
        <v>1</v>
      </c>
      <c r="H18" s="186">
        <f t="shared" si="1"/>
        <v>1.4999999999999998E-6</v>
      </c>
      <c r="I18" s="186">
        <f t="shared" si="0"/>
        <v>2.2499999999999997E-4</v>
      </c>
      <c r="J18" s="183" t="str">
        <f t="shared" si="2"/>
        <v>Sim</v>
      </c>
      <c r="L18" s="53"/>
    </row>
    <row r="19" spans="1:17" ht="16.5" thickBot="1">
      <c r="A19" s="182"/>
      <c r="B19" s="183" t="s">
        <v>269</v>
      </c>
      <c r="C19" s="184"/>
      <c r="D19" s="276">
        <v>0.06</v>
      </c>
      <c r="E19" s="276">
        <v>0.25</v>
      </c>
      <c r="F19" s="185" t="s">
        <v>263</v>
      </c>
      <c r="G19" s="196">
        <v>1</v>
      </c>
      <c r="H19" s="186">
        <f t="shared" si="1"/>
        <v>1.4999999999999998E-6</v>
      </c>
      <c r="I19" s="186">
        <f t="shared" si="0"/>
        <v>2.2499999999999997E-4</v>
      </c>
      <c r="J19" s="183" t="str">
        <f t="shared" si="2"/>
        <v>Sim</v>
      </c>
      <c r="L19" s="201" t="s">
        <v>301</v>
      </c>
    </row>
    <row r="20" spans="1:17" ht="16.5" thickBot="1">
      <c r="A20" s="182"/>
      <c r="B20" s="183" t="s">
        <v>392</v>
      </c>
      <c r="C20" s="184"/>
      <c r="D20" s="276">
        <v>0.06</v>
      </c>
      <c r="E20" s="276">
        <v>0.25</v>
      </c>
      <c r="F20" s="185" t="s">
        <v>263</v>
      </c>
      <c r="G20" s="196">
        <v>1</v>
      </c>
      <c r="H20" s="186">
        <f>((G20*0.000001*60)/($F$3*$B$5))</f>
        <v>1.4999999999999998E-6</v>
      </c>
      <c r="I20" s="186">
        <f t="shared" si="0"/>
        <v>2.2499999999999997E-4</v>
      </c>
      <c r="J20" s="183" t="str">
        <f>IF(I20&lt;=0.5,"Sim","Verificar")</f>
        <v>Sim</v>
      </c>
      <c r="L20" s="201"/>
    </row>
    <row r="21" spans="1:17" ht="16.5" thickBot="1">
      <c r="A21" s="182"/>
      <c r="B21" s="183" t="s">
        <v>393</v>
      </c>
      <c r="C21" s="184"/>
      <c r="D21" s="276">
        <v>0.06</v>
      </c>
      <c r="E21" s="276">
        <v>0.25</v>
      </c>
      <c r="F21" s="185" t="s">
        <v>263</v>
      </c>
      <c r="G21" s="196">
        <v>1</v>
      </c>
      <c r="H21" s="186">
        <f>((G21*0.000001*60)/($F$3*$B$5))</f>
        <v>1.4999999999999998E-6</v>
      </c>
      <c r="I21" s="186">
        <f t="shared" si="0"/>
        <v>2.2499999999999997E-4</v>
      </c>
      <c r="J21" s="183" t="str">
        <f>IF(I21&lt;=0.5,"Sim","Verificar")</f>
        <v>Sim</v>
      </c>
      <c r="L21" s="201"/>
    </row>
    <row r="22" spans="1:17" ht="15.75" thickBot="1">
      <c r="A22" s="182" t="s">
        <v>391</v>
      </c>
      <c r="B22" s="183" t="s">
        <v>270</v>
      </c>
      <c r="C22" s="184" t="s">
        <v>271</v>
      </c>
      <c r="D22" s="188">
        <v>0.25</v>
      </c>
      <c r="E22" s="188">
        <v>0.25</v>
      </c>
      <c r="F22" s="185" t="s">
        <v>263</v>
      </c>
      <c r="G22" s="196">
        <v>1</v>
      </c>
      <c r="H22" s="186">
        <f t="shared" si="1"/>
        <v>1.4999999999999998E-6</v>
      </c>
      <c r="I22" s="186">
        <f t="shared" si="0"/>
        <v>9.3749999999999997E-4</v>
      </c>
      <c r="J22" s="183" t="str">
        <f t="shared" si="2"/>
        <v>Sim</v>
      </c>
      <c r="L22" s="202" t="s">
        <v>302</v>
      </c>
      <c r="M22" s="202"/>
      <c r="N22" s="202" t="s">
        <v>303</v>
      </c>
      <c r="O22" s="202"/>
      <c r="P22" s="202" t="s">
        <v>304</v>
      </c>
      <c r="Q22" s="202"/>
    </row>
    <row r="23" spans="1:17" ht="15.75" thickBot="1">
      <c r="A23" s="182"/>
      <c r="B23" s="183" t="s">
        <v>272</v>
      </c>
      <c r="C23" s="187"/>
      <c r="D23" s="188">
        <v>0.25</v>
      </c>
      <c r="E23" s="188">
        <v>0.25</v>
      </c>
      <c r="F23" s="185" t="s">
        <v>263</v>
      </c>
      <c r="G23" s="196">
        <v>1</v>
      </c>
      <c r="H23" s="186">
        <f t="shared" si="1"/>
        <v>1.4999999999999998E-6</v>
      </c>
      <c r="I23" s="186">
        <f t="shared" si="0"/>
        <v>9.3749999999999997E-4</v>
      </c>
      <c r="J23" s="183" t="str">
        <f t="shared" si="2"/>
        <v>Sim</v>
      </c>
      <c r="L23" s="202" t="s">
        <v>305</v>
      </c>
      <c r="M23" s="202"/>
      <c r="N23" s="202" t="s">
        <v>306</v>
      </c>
      <c r="O23" s="202"/>
      <c r="P23" s="202" t="s">
        <v>307</v>
      </c>
      <c r="Q23" s="202"/>
    </row>
    <row r="24" spans="1:17" ht="15.75" thickBot="1">
      <c r="A24" s="182"/>
      <c r="B24" s="183" t="s">
        <v>273</v>
      </c>
      <c r="C24" s="187"/>
      <c r="D24" s="188">
        <v>0.25</v>
      </c>
      <c r="E24" s="188">
        <v>0.25</v>
      </c>
      <c r="F24" s="185" t="s">
        <v>263</v>
      </c>
      <c r="G24" s="196">
        <v>1</v>
      </c>
      <c r="H24" s="186">
        <f t="shared" ref="H24:H30" si="3">((G24*0.000001*60)/($F$3*$B$5))</f>
        <v>1.4999999999999998E-6</v>
      </c>
      <c r="I24" s="186">
        <f t="shared" ref="I24:I30" si="4">H24*$F$6*E24*D24*50</f>
        <v>9.3749999999999997E-4</v>
      </c>
      <c r="J24" s="183" t="str">
        <f t="shared" ref="J24:J30" si="5">IF(I24&lt;=0.5,"Sim","Verificar")</f>
        <v>Sim</v>
      </c>
      <c r="L24" s="209"/>
      <c r="M24" s="209"/>
      <c r="N24" s="209"/>
      <c r="O24" s="209"/>
      <c r="P24" s="209"/>
      <c r="Q24" s="209"/>
    </row>
    <row r="25" spans="1:17" ht="15.75" hidden="1" thickBot="1">
      <c r="A25" s="182" t="s">
        <v>397</v>
      </c>
      <c r="B25" s="183" t="s">
        <v>338</v>
      </c>
      <c r="C25" s="184" t="s">
        <v>271</v>
      </c>
      <c r="D25" s="188">
        <v>0.25</v>
      </c>
      <c r="E25" s="188">
        <v>0.25</v>
      </c>
      <c r="F25" s="185" t="s">
        <v>263</v>
      </c>
      <c r="G25" s="196">
        <v>1</v>
      </c>
      <c r="H25" s="186">
        <f t="shared" si="3"/>
        <v>1.4999999999999998E-6</v>
      </c>
      <c r="I25" s="186">
        <f t="shared" si="4"/>
        <v>9.3749999999999997E-4</v>
      </c>
      <c r="J25" s="183" t="str">
        <f t="shared" si="5"/>
        <v>Sim</v>
      </c>
      <c r="L25" s="209"/>
      <c r="M25" s="209"/>
      <c r="N25" s="209"/>
      <c r="O25" s="209"/>
      <c r="P25" s="209"/>
      <c r="Q25" s="209"/>
    </row>
    <row r="26" spans="1:17" ht="15.75" hidden="1" thickBot="1">
      <c r="A26" s="182"/>
      <c r="B26" s="183" t="s">
        <v>339</v>
      </c>
      <c r="C26" s="187"/>
      <c r="D26" s="188">
        <v>0.25</v>
      </c>
      <c r="E26" s="188">
        <v>0.25</v>
      </c>
      <c r="F26" s="185" t="s">
        <v>263</v>
      </c>
      <c r="G26" s="196">
        <v>1</v>
      </c>
      <c r="H26" s="186">
        <f t="shared" si="3"/>
        <v>1.4999999999999998E-6</v>
      </c>
      <c r="I26" s="186">
        <f t="shared" si="4"/>
        <v>9.3749999999999997E-4</v>
      </c>
      <c r="J26" s="183" t="str">
        <f t="shared" si="5"/>
        <v>Sim</v>
      </c>
      <c r="L26" s="209"/>
      <c r="M26" s="209"/>
      <c r="N26" s="209"/>
      <c r="O26" s="209"/>
      <c r="P26" s="209"/>
      <c r="Q26" s="209"/>
    </row>
    <row r="27" spans="1:17" ht="15.75" hidden="1" thickBot="1">
      <c r="A27" s="182"/>
      <c r="B27" s="183" t="s">
        <v>399</v>
      </c>
      <c r="C27" s="187"/>
      <c r="D27" s="188">
        <v>0.25</v>
      </c>
      <c r="E27" s="188">
        <v>0.25</v>
      </c>
      <c r="F27" s="185" t="s">
        <v>263</v>
      </c>
      <c r="G27" s="196">
        <v>1</v>
      </c>
      <c r="H27" s="186">
        <f t="shared" si="3"/>
        <v>1.4999999999999998E-6</v>
      </c>
      <c r="I27" s="186">
        <f t="shared" si="4"/>
        <v>9.3749999999999997E-4</v>
      </c>
      <c r="J27" s="183" t="str">
        <f t="shared" si="5"/>
        <v>Sim</v>
      </c>
      <c r="L27" s="209"/>
      <c r="M27" s="209"/>
      <c r="N27" s="209"/>
      <c r="O27" s="209"/>
      <c r="P27" s="209"/>
      <c r="Q27" s="209"/>
    </row>
    <row r="28" spans="1:17" ht="15.75" hidden="1" thickBot="1">
      <c r="A28" s="182" t="s">
        <v>398</v>
      </c>
      <c r="B28" s="183" t="s">
        <v>400</v>
      </c>
      <c r="C28" s="184" t="s">
        <v>271</v>
      </c>
      <c r="D28" s="188">
        <v>0.25</v>
      </c>
      <c r="E28" s="188">
        <v>0.25</v>
      </c>
      <c r="F28" s="185" t="s">
        <v>263</v>
      </c>
      <c r="G28" s="196">
        <v>1</v>
      </c>
      <c r="H28" s="186">
        <f t="shared" si="3"/>
        <v>1.4999999999999998E-6</v>
      </c>
      <c r="I28" s="186">
        <f t="shared" si="4"/>
        <v>9.3749999999999997E-4</v>
      </c>
      <c r="J28" s="183" t="str">
        <f t="shared" si="5"/>
        <v>Sim</v>
      </c>
      <c r="L28" s="209"/>
      <c r="M28" s="209"/>
      <c r="N28" s="209"/>
      <c r="O28" s="209"/>
      <c r="P28" s="209"/>
      <c r="Q28" s="209"/>
    </row>
    <row r="29" spans="1:17" ht="15.75" hidden="1" thickBot="1">
      <c r="A29" s="182"/>
      <c r="B29" s="183" t="s">
        <v>401</v>
      </c>
      <c r="C29" s="187"/>
      <c r="D29" s="188">
        <v>0.25</v>
      </c>
      <c r="E29" s="188">
        <v>0.25</v>
      </c>
      <c r="F29" s="185" t="s">
        <v>263</v>
      </c>
      <c r="G29" s="196">
        <v>1</v>
      </c>
      <c r="H29" s="186">
        <f t="shared" si="3"/>
        <v>1.4999999999999998E-6</v>
      </c>
      <c r="I29" s="186">
        <f t="shared" si="4"/>
        <v>9.3749999999999997E-4</v>
      </c>
      <c r="J29" s="183" t="str">
        <f t="shared" si="5"/>
        <v>Sim</v>
      </c>
      <c r="L29" s="209"/>
      <c r="M29" s="209"/>
      <c r="N29" s="209"/>
      <c r="O29" s="209"/>
      <c r="P29" s="209"/>
      <c r="Q29" s="209"/>
    </row>
    <row r="30" spans="1:17" ht="15.75" hidden="1" thickBot="1">
      <c r="A30" s="182"/>
      <c r="B30" s="183" t="s">
        <v>402</v>
      </c>
      <c r="C30" s="187"/>
      <c r="D30" s="188">
        <v>0.25</v>
      </c>
      <c r="E30" s="188">
        <v>0.25</v>
      </c>
      <c r="F30" s="185" t="s">
        <v>263</v>
      </c>
      <c r="G30" s="196">
        <v>1</v>
      </c>
      <c r="H30" s="186">
        <f t="shared" si="3"/>
        <v>1.4999999999999998E-6</v>
      </c>
      <c r="I30" s="186">
        <f t="shared" si="4"/>
        <v>9.3749999999999997E-4</v>
      </c>
      <c r="J30" s="183" t="str">
        <f t="shared" si="5"/>
        <v>Sim</v>
      </c>
      <c r="L30" s="209"/>
      <c r="M30" s="209"/>
      <c r="N30" s="209"/>
      <c r="O30" s="209"/>
      <c r="P30" s="209"/>
      <c r="Q30" s="209"/>
    </row>
    <row r="31" spans="1:17" ht="13.5" thickBot="1">
      <c r="A31" s="182" t="s">
        <v>403</v>
      </c>
      <c r="B31" s="183" t="s">
        <v>274</v>
      </c>
      <c r="C31" s="184" t="s">
        <v>267</v>
      </c>
      <c r="D31" s="188">
        <v>1</v>
      </c>
      <c r="E31" s="188">
        <v>0.25</v>
      </c>
      <c r="F31" s="185" t="s">
        <v>263</v>
      </c>
      <c r="G31" s="196">
        <v>1</v>
      </c>
      <c r="H31" s="186">
        <f t="shared" si="1"/>
        <v>1.4999999999999998E-6</v>
      </c>
      <c r="I31" s="186">
        <f t="shared" ref="I31:I40" si="6">H31*$F$6*E31*D31*50</f>
        <v>3.7499999999999999E-3</v>
      </c>
      <c r="J31" s="183" t="str">
        <f t="shared" si="2"/>
        <v>Sim</v>
      </c>
    </row>
    <row r="32" spans="1:17" ht="13.5" thickBot="1">
      <c r="A32" s="182"/>
      <c r="B32" s="183" t="s">
        <v>275</v>
      </c>
      <c r="C32" s="187"/>
      <c r="D32" s="188">
        <v>1</v>
      </c>
      <c r="E32" s="188">
        <v>0.25</v>
      </c>
      <c r="F32" s="185" t="s">
        <v>263</v>
      </c>
      <c r="G32" s="196">
        <v>1</v>
      </c>
      <c r="H32" s="186">
        <f t="shared" si="1"/>
        <v>1.4999999999999998E-6</v>
      </c>
      <c r="I32" s="186">
        <f t="shared" si="6"/>
        <v>3.7499999999999999E-3</v>
      </c>
      <c r="J32" s="183" t="str">
        <f t="shared" si="2"/>
        <v>Sim</v>
      </c>
    </row>
    <row r="33" spans="1:17" ht="16.5" thickBot="1">
      <c r="A33" s="182"/>
      <c r="B33" s="183" t="s">
        <v>276</v>
      </c>
      <c r="C33" s="187"/>
      <c r="D33" s="188">
        <v>1</v>
      </c>
      <c r="E33" s="188">
        <v>0.25</v>
      </c>
      <c r="F33" s="185" t="s">
        <v>263</v>
      </c>
      <c r="G33" s="196">
        <v>1</v>
      </c>
      <c r="H33" s="186">
        <f t="shared" si="1"/>
        <v>1.4999999999999998E-6</v>
      </c>
      <c r="I33" s="186">
        <f t="shared" si="6"/>
        <v>3.7499999999999999E-3</v>
      </c>
      <c r="J33" s="183" t="str">
        <f t="shared" si="2"/>
        <v>Sim</v>
      </c>
      <c r="L33" s="201" t="s">
        <v>308</v>
      </c>
    </row>
    <row r="34" spans="1:17" ht="16.5" thickBot="1">
      <c r="A34" s="182"/>
      <c r="B34" s="183" t="s">
        <v>277</v>
      </c>
      <c r="C34" s="187"/>
      <c r="D34" s="188">
        <v>1</v>
      </c>
      <c r="E34" s="188">
        <v>0.25</v>
      </c>
      <c r="F34" s="185" t="s">
        <v>263</v>
      </c>
      <c r="G34" s="196">
        <v>1</v>
      </c>
      <c r="H34" s="186">
        <f t="shared" si="1"/>
        <v>1.4999999999999998E-6</v>
      </c>
      <c r="I34" s="186">
        <f t="shared" si="6"/>
        <v>3.7499999999999999E-3</v>
      </c>
      <c r="J34" s="183" t="str">
        <f t="shared" si="2"/>
        <v>Sim</v>
      </c>
      <c r="L34" s="201"/>
    </row>
    <row r="35" spans="1:17" ht="16.5" thickBot="1">
      <c r="A35" s="182"/>
      <c r="B35" s="183" t="s">
        <v>278</v>
      </c>
      <c r="C35" s="187"/>
      <c r="D35" s="188">
        <v>1</v>
      </c>
      <c r="E35" s="188">
        <v>0.25</v>
      </c>
      <c r="F35" s="185" t="s">
        <v>263</v>
      </c>
      <c r="G35" s="196">
        <v>1</v>
      </c>
      <c r="H35" s="186">
        <f t="shared" si="1"/>
        <v>1.4999999999999998E-6</v>
      </c>
      <c r="I35" s="186">
        <f t="shared" si="6"/>
        <v>3.7499999999999999E-3</v>
      </c>
      <c r="J35" s="183" t="str">
        <f t="shared" si="2"/>
        <v>Sim</v>
      </c>
      <c r="L35" s="201"/>
    </row>
    <row r="36" spans="1:17" ht="15.75" thickBot="1">
      <c r="A36" s="182" t="s">
        <v>403</v>
      </c>
      <c r="B36" s="183" t="s">
        <v>279</v>
      </c>
      <c r="C36" s="184" t="s">
        <v>267</v>
      </c>
      <c r="D36" s="188">
        <v>1</v>
      </c>
      <c r="E36" s="188">
        <v>0.25</v>
      </c>
      <c r="F36" s="185" t="s">
        <v>263</v>
      </c>
      <c r="G36" s="196">
        <v>1</v>
      </c>
      <c r="H36" s="186">
        <f t="shared" si="1"/>
        <v>1.4999999999999998E-6</v>
      </c>
      <c r="I36" s="186">
        <f t="shared" si="6"/>
        <v>3.7499999999999999E-3</v>
      </c>
      <c r="J36" s="183" t="str">
        <f t="shared" si="2"/>
        <v>Sim</v>
      </c>
      <c r="L36" s="53"/>
    </row>
    <row r="37" spans="1:17" ht="15.75" thickBot="1">
      <c r="A37" s="182"/>
      <c r="B37" s="183" t="s">
        <v>280</v>
      </c>
      <c r="C37" s="187"/>
      <c r="D37" s="188">
        <v>1</v>
      </c>
      <c r="E37" s="188">
        <v>0.25</v>
      </c>
      <c r="F37" s="185" t="s">
        <v>263</v>
      </c>
      <c r="G37" s="196">
        <v>1</v>
      </c>
      <c r="H37" s="186">
        <f t="shared" si="1"/>
        <v>1.4999999999999998E-6</v>
      </c>
      <c r="I37" s="186">
        <f t="shared" si="6"/>
        <v>3.7499999999999999E-3</v>
      </c>
      <c r="J37" s="183" t="str">
        <f t="shared" si="2"/>
        <v>Sim</v>
      </c>
      <c r="L37" s="53"/>
    </row>
    <row r="38" spans="1:17" ht="15.75" thickBot="1">
      <c r="A38" s="182"/>
      <c r="B38" s="183" t="s">
        <v>281</v>
      </c>
      <c r="C38" s="187"/>
      <c r="D38" s="188">
        <v>1</v>
      </c>
      <c r="E38" s="188">
        <v>0.25</v>
      </c>
      <c r="F38" s="185" t="s">
        <v>263</v>
      </c>
      <c r="G38" s="196">
        <v>1</v>
      </c>
      <c r="H38" s="186">
        <f t="shared" si="1"/>
        <v>1.4999999999999998E-6</v>
      </c>
      <c r="I38" s="186">
        <f t="shared" si="6"/>
        <v>3.7499999999999999E-3</v>
      </c>
      <c r="J38" s="183" t="str">
        <f t="shared" si="2"/>
        <v>Sim</v>
      </c>
      <c r="L38" s="53"/>
    </row>
    <row r="39" spans="1:17" ht="15.75" thickBot="1">
      <c r="A39" s="182"/>
      <c r="B39" s="183" t="s">
        <v>282</v>
      </c>
      <c r="C39" s="187"/>
      <c r="D39" s="188">
        <v>1</v>
      </c>
      <c r="E39" s="188">
        <v>0.25</v>
      </c>
      <c r="F39" s="185" t="s">
        <v>263</v>
      </c>
      <c r="G39" s="196">
        <v>1</v>
      </c>
      <c r="H39" s="186">
        <f t="shared" si="1"/>
        <v>1.4999999999999998E-6</v>
      </c>
      <c r="I39" s="186">
        <f t="shared" si="6"/>
        <v>3.7499999999999999E-3</v>
      </c>
      <c r="J39" s="183" t="str">
        <f t="shared" si="2"/>
        <v>Sim</v>
      </c>
      <c r="L39" s="53"/>
    </row>
    <row r="40" spans="1:17" ht="15.75" thickBot="1">
      <c r="A40" s="182"/>
      <c r="B40" s="183" t="s">
        <v>283</v>
      </c>
      <c r="C40" s="187"/>
      <c r="D40" s="188">
        <v>1</v>
      </c>
      <c r="E40" s="188">
        <v>0.25</v>
      </c>
      <c r="F40" s="185" t="s">
        <v>263</v>
      </c>
      <c r="G40" s="196">
        <v>1</v>
      </c>
      <c r="H40" s="186">
        <f t="shared" si="1"/>
        <v>1.4999999999999998E-6</v>
      </c>
      <c r="I40" s="186">
        <f t="shared" si="6"/>
        <v>3.7499999999999999E-3</v>
      </c>
      <c r="J40" s="183" t="str">
        <f t="shared" si="2"/>
        <v>Sim</v>
      </c>
      <c r="L40" s="53"/>
    </row>
    <row r="41" spans="1:17" ht="15.75" thickBot="1">
      <c r="A41" s="182" t="s">
        <v>404</v>
      </c>
      <c r="B41" s="183" t="s">
        <v>340</v>
      </c>
      <c r="C41" s="184" t="s">
        <v>271</v>
      </c>
      <c r="D41" s="188">
        <v>0.25</v>
      </c>
      <c r="E41" s="188">
        <v>0.5</v>
      </c>
      <c r="F41" s="185" t="s">
        <v>351</v>
      </c>
      <c r="G41" s="196">
        <v>1</v>
      </c>
      <c r="H41" s="186">
        <f t="shared" si="1"/>
        <v>1.4999999999999998E-6</v>
      </c>
      <c r="I41" s="186">
        <f t="shared" ref="I41:I50" si="7">H41*$F$6*E41*D41*50</f>
        <v>1.8749999999999999E-3</v>
      </c>
      <c r="J41" s="183" t="str">
        <f t="shared" si="2"/>
        <v>Sim</v>
      </c>
      <c r="L41" s="53"/>
    </row>
    <row r="42" spans="1:17" ht="15.75" thickBot="1">
      <c r="A42" s="189"/>
      <c r="B42" s="183" t="s">
        <v>341</v>
      </c>
      <c r="C42" s="184"/>
      <c r="D42" s="188">
        <v>0.25</v>
      </c>
      <c r="E42" s="188">
        <v>0.5</v>
      </c>
      <c r="F42" s="185" t="s">
        <v>351</v>
      </c>
      <c r="G42" s="196">
        <v>1</v>
      </c>
      <c r="H42" s="186">
        <f t="shared" si="1"/>
        <v>1.4999999999999998E-6</v>
      </c>
      <c r="I42" s="186">
        <f t="shared" si="7"/>
        <v>1.8749999999999999E-3</v>
      </c>
      <c r="J42" s="183" t="str">
        <f t="shared" si="2"/>
        <v>Sim</v>
      </c>
      <c r="L42" s="53"/>
    </row>
    <row r="43" spans="1:17" ht="15.75" thickBot="1">
      <c r="A43" s="189"/>
      <c r="B43" s="183" t="s">
        <v>342</v>
      </c>
      <c r="C43" s="184"/>
      <c r="D43" s="188">
        <v>0.25</v>
      </c>
      <c r="E43" s="188">
        <v>0.5</v>
      </c>
      <c r="F43" s="185" t="s">
        <v>351</v>
      </c>
      <c r="G43" s="196">
        <v>1</v>
      </c>
      <c r="H43" s="186">
        <f t="shared" si="1"/>
        <v>1.4999999999999998E-6</v>
      </c>
      <c r="I43" s="186">
        <f t="shared" si="7"/>
        <v>1.8749999999999999E-3</v>
      </c>
      <c r="J43" s="183" t="str">
        <f t="shared" si="2"/>
        <v>Sim</v>
      </c>
      <c r="L43" s="53"/>
    </row>
    <row r="44" spans="1:17" ht="16.5" thickBot="1">
      <c r="A44" s="189"/>
      <c r="B44" s="183" t="s">
        <v>343</v>
      </c>
      <c r="C44" s="184"/>
      <c r="D44" s="188">
        <v>0.25</v>
      </c>
      <c r="E44" s="188">
        <v>0.5</v>
      </c>
      <c r="F44" s="185" t="s">
        <v>351</v>
      </c>
      <c r="G44" s="196">
        <v>1</v>
      </c>
      <c r="H44" s="186">
        <f t="shared" si="1"/>
        <v>1.4999999999999998E-6</v>
      </c>
      <c r="I44" s="186">
        <f t="shared" si="7"/>
        <v>1.8749999999999999E-3</v>
      </c>
      <c r="J44" s="183" t="str">
        <f t="shared" si="2"/>
        <v>Sim</v>
      </c>
      <c r="L44" s="201" t="s">
        <v>309</v>
      </c>
    </row>
    <row r="45" spans="1:17" ht="15.75" thickBot="1">
      <c r="A45" s="189"/>
      <c r="B45" s="183" t="s">
        <v>344</v>
      </c>
      <c r="C45" s="184"/>
      <c r="D45" s="188">
        <v>0.25</v>
      </c>
      <c r="E45" s="188">
        <v>0.5</v>
      </c>
      <c r="F45" s="185" t="s">
        <v>351</v>
      </c>
      <c r="G45" s="196">
        <v>1</v>
      </c>
      <c r="H45" s="186">
        <f t="shared" si="1"/>
        <v>1.4999999999999998E-6</v>
      </c>
      <c r="I45" s="186">
        <f t="shared" si="7"/>
        <v>1.8749999999999999E-3</v>
      </c>
      <c r="J45" s="183" t="str">
        <f t="shared" si="2"/>
        <v>Sim</v>
      </c>
      <c r="L45" s="53"/>
    </row>
    <row r="46" spans="1:17" ht="15.75" thickBot="1">
      <c r="A46" s="182" t="s">
        <v>405</v>
      </c>
      <c r="B46" s="183" t="s">
        <v>355</v>
      </c>
      <c r="C46" s="184" t="s">
        <v>267</v>
      </c>
      <c r="D46" s="188">
        <v>0.06</v>
      </c>
      <c r="E46" s="188">
        <v>0.5</v>
      </c>
      <c r="F46" s="185" t="s">
        <v>351</v>
      </c>
      <c r="G46" s="196">
        <v>1</v>
      </c>
      <c r="H46" s="186">
        <f t="shared" si="1"/>
        <v>1.4999999999999998E-6</v>
      </c>
      <c r="I46" s="186">
        <f t="shared" si="7"/>
        <v>4.4999999999999993E-4</v>
      </c>
      <c r="J46" s="183" t="str">
        <f t="shared" si="2"/>
        <v>Sim</v>
      </c>
      <c r="L46" s="202" t="s">
        <v>310</v>
      </c>
      <c r="M46" s="198"/>
      <c r="N46" s="198"/>
      <c r="O46" s="202" t="s">
        <v>311</v>
      </c>
      <c r="P46" s="198"/>
      <c r="Q46" s="198"/>
    </row>
    <row r="47" spans="1:17" ht="15.75" thickBot="1">
      <c r="A47" s="182"/>
      <c r="B47" s="183" t="s">
        <v>356</v>
      </c>
      <c r="C47" s="184"/>
      <c r="D47" s="188">
        <v>0.06</v>
      </c>
      <c r="E47" s="188">
        <v>0.5</v>
      </c>
      <c r="F47" s="185" t="s">
        <v>351</v>
      </c>
      <c r="G47" s="196">
        <v>1</v>
      </c>
      <c r="H47" s="186">
        <f t="shared" si="1"/>
        <v>1.4999999999999998E-6</v>
      </c>
      <c r="I47" s="186">
        <f t="shared" si="7"/>
        <v>4.4999999999999993E-4</v>
      </c>
      <c r="J47" s="183" t="str">
        <f t="shared" si="2"/>
        <v>Sim</v>
      </c>
      <c r="L47" s="202" t="s">
        <v>312</v>
      </c>
      <c r="M47" s="198"/>
      <c r="N47" s="198"/>
      <c r="O47" s="202" t="s">
        <v>313</v>
      </c>
      <c r="P47" s="198"/>
      <c r="Q47" s="198"/>
    </row>
    <row r="48" spans="1:17" ht="15.75" thickBot="1">
      <c r="A48" s="182"/>
      <c r="B48" s="183" t="s">
        <v>357</v>
      </c>
      <c r="C48" s="184"/>
      <c r="D48" s="188">
        <v>0.06</v>
      </c>
      <c r="E48" s="188">
        <v>0.5</v>
      </c>
      <c r="F48" s="185" t="s">
        <v>351</v>
      </c>
      <c r="G48" s="196">
        <v>1</v>
      </c>
      <c r="H48" s="186">
        <f t="shared" si="1"/>
        <v>1.4999999999999998E-6</v>
      </c>
      <c r="I48" s="186">
        <f t="shared" si="7"/>
        <v>4.4999999999999993E-4</v>
      </c>
      <c r="J48" s="183" t="str">
        <f t="shared" si="2"/>
        <v>Sim</v>
      </c>
      <c r="L48" s="202"/>
      <c r="M48" s="198"/>
      <c r="N48" s="198"/>
      <c r="O48" s="202" t="s">
        <v>314</v>
      </c>
      <c r="P48" s="198"/>
      <c r="Q48" s="198"/>
    </row>
    <row r="49" spans="1:12" ht="15.75" thickBot="1">
      <c r="A49" s="182"/>
      <c r="B49" s="183" t="s">
        <v>358</v>
      </c>
      <c r="C49" s="184"/>
      <c r="D49" s="188">
        <v>0.06</v>
      </c>
      <c r="E49" s="188">
        <v>0.5</v>
      </c>
      <c r="F49" s="185" t="s">
        <v>351</v>
      </c>
      <c r="G49" s="196">
        <v>1</v>
      </c>
      <c r="H49" s="186">
        <f t="shared" si="1"/>
        <v>1.4999999999999998E-6</v>
      </c>
      <c r="I49" s="186">
        <f t="shared" si="7"/>
        <v>4.4999999999999993E-4</v>
      </c>
      <c r="J49" s="183" t="str">
        <f t="shared" si="2"/>
        <v>Sim</v>
      </c>
      <c r="L49" s="53"/>
    </row>
    <row r="50" spans="1:12" ht="15.75" thickBot="1">
      <c r="A50" s="182"/>
      <c r="B50" s="183" t="s">
        <v>359</v>
      </c>
      <c r="C50" s="184"/>
      <c r="D50" s="188">
        <v>0.06</v>
      </c>
      <c r="E50" s="188">
        <v>0.5</v>
      </c>
      <c r="F50" s="185" t="s">
        <v>351</v>
      </c>
      <c r="G50" s="196">
        <v>1</v>
      </c>
      <c r="H50" s="186">
        <f t="shared" si="1"/>
        <v>1.4999999999999998E-6</v>
      </c>
      <c r="I50" s="186">
        <f t="shared" si="7"/>
        <v>4.4999999999999993E-4</v>
      </c>
      <c r="J50" s="183" t="str">
        <f t="shared" si="2"/>
        <v>Sim</v>
      </c>
      <c r="L50" s="53"/>
    </row>
    <row r="51" spans="1:12" ht="13.5" thickBot="1">
      <c r="A51" s="182" t="s">
        <v>365</v>
      </c>
      <c r="B51" s="183" t="s">
        <v>360</v>
      </c>
      <c r="C51" s="184" t="s">
        <v>368</v>
      </c>
      <c r="D51" s="188">
        <v>1</v>
      </c>
      <c r="E51" s="188">
        <v>0.25</v>
      </c>
      <c r="F51" s="185" t="s">
        <v>263</v>
      </c>
      <c r="G51" s="196">
        <v>1</v>
      </c>
      <c r="H51" s="186">
        <f t="shared" si="1"/>
        <v>1.4999999999999998E-6</v>
      </c>
      <c r="I51" s="186">
        <f t="shared" ref="I51:I65" si="8">H51*$F$6*E51*D51*50</f>
        <v>3.7499999999999999E-3</v>
      </c>
      <c r="J51" s="183" t="str">
        <f t="shared" si="2"/>
        <v>Sim</v>
      </c>
    </row>
    <row r="52" spans="1:12" ht="13.5" thickBot="1">
      <c r="A52" s="189"/>
      <c r="B52" s="183" t="s">
        <v>361</v>
      </c>
      <c r="C52" s="184"/>
      <c r="D52" s="188">
        <v>1</v>
      </c>
      <c r="E52" s="188">
        <v>0.25</v>
      </c>
      <c r="F52" s="185" t="s">
        <v>263</v>
      </c>
      <c r="G52" s="196">
        <v>1</v>
      </c>
      <c r="H52" s="186">
        <f t="shared" si="1"/>
        <v>1.4999999999999998E-6</v>
      </c>
      <c r="I52" s="186">
        <f t="shared" si="8"/>
        <v>3.7499999999999999E-3</v>
      </c>
      <c r="J52" s="183" t="str">
        <f t="shared" si="2"/>
        <v>Sim</v>
      </c>
    </row>
    <row r="53" spans="1:12" ht="13.5" thickBot="1">
      <c r="A53" s="189"/>
      <c r="B53" s="183" t="s">
        <v>362</v>
      </c>
      <c r="C53" s="184"/>
      <c r="D53" s="188">
        <v>1</v>
      </c>
      <c r="E53" s="188">
        <v>0.25</v>
      </c>
      <c r="F53" s="185" t="s">
        <v>263</v>
      </c>
      <c r="G53" s="196">
        <v>1</v>
      </c>
      <c r="H53" s="186">
        <f t="shared" si="1"/>
        <v>1.4999999999999998E-6</v>
      </c>
      <c r="I53" s="186">
        <f t="shared" si="8"/>
        <v>3.7499999999999999E-3</v>
      </c>
      <c r="J53" s="183" t="str">
        <f t="shared" si="2"/>
        <v>Sim</v>
      </c>
    </row>
    <row r="54" spans="1:12" ht="13.5" thickBot="1">
      <c r="A54" s="189"/>
      <c r="B54" s="183" t="s">
        <v>363</v>
      </c>
      <c r="C54" s="184"/>
      <c r="D54" s="188">
        <v>1</v>
      </c>
      <c r="E54" s="188">
        <v>0.25</v>
      </c>
      <c r="F54" s="185" t="s">
        <v>263</v>
      </c>
      <c r="G54" s="196">
        <v>1</v>
      </c>
      <c r="H54" s="186">
        <f t="shared" si="1"/>
        <v>1.4999999999999998E-6</v>
      </c>
      <c r="I54" s="186">
        <f t="shared" si="8"/>
        <v>3.7499999999999999E-3</v>
      </c>
      <c r="J54" s="183" t="str">
        <f t="shared" si="2"/>
        <v>Sim</v>
      </c>
    </row>
    <row r="55" spans="1:12" ht="13.5" thickBot="1">
      <c r="A55" s="189"/>
      <c r="B55" s="183" t="s">
        <v>364</v>
      </c>
      <c r="C55" s="184"/>
      <c r="D55" s="188">
        <v>1</v>
      </c>
      <c r="E55" s="188">
        <v>0.25</v>
      </c>
      <c r="F55" s="185" t="s">
        <v>263</v>
      </c>
      <c r="G55" s="196">
        <v>1</v>
      </c>
      <c r="H55" s="186">
        <f t="shared" si="1"/>
        <v>1.4999999999999998E-6</v>
      </c>
      <c r="I55" s="186">
        <f t="shared" si="8"/>
        <v>3.7499999999999999E-3</v>
      </c>
      <c r="J55" s="183" t="str">
        <f t="shared" si="2"/>
        <v>Sim</v>
      </c>
    </row>
    <row r="56" spans="1:12" ht="13.5" hidden="1" thickBot="1">
      <c r="A56" s="182" t="s">
        <v>366</v>
      </c>
      <c r="B56" s="183" t="s">
        <v>370</v>
      </c>
      <c r="C56" s="184" t="s">
        <v>367</v>
      </c>
      <c r="D56" s="188">
        <v>1</v>
      </c>
      <c r="E56" s="188">
        <v>0.5</v>
      </c>
      <c r="F56" s="185" t="s">
        <v>263</v>
      </c>
      <c r="G56" s="196">
        <v>1</v>
      </c>
      <c r="H56" s="186">
        <f t="shared" ref="H56:H65" si="9">((G56*0.000001*60)/($F$3*$B$5))</f>
        <v>1.4999999999999998E-6</v>
      </c>
      <c r="I56" s="186">
        <f t="shared" si="8"/>
        <v>7.4999999999999997E-3</v>
      </c>
      <c r="J56" s="183" t="str">
        <f t="shared" si="2"/>
        <v>Sim</v>
      </c>
    </row>
    <row r="57" spans="1:12" ht="13.5" hidden="1" thickBot="1">
      <c r="A57" s="189"/>
      <c r="B57" s="183" t="s">
        <v>371</v>
      </c>
      <c r="C57" s="184"/>
      <c r="D57" s="188">
        <v>1</v>
      </c>
      <c r="E57" s="188">
        <v>0.5</v>
      </c>
      <c r="F57" s="185" t="s">
        <v>263</v>
      </c>
      <c r="G57" s="196">
        <v>1</v>
      </c>
      <c r="H57" s="186">
        <f t="shared" si="9"/>
        <v>1.4999999999999998E-6</v>
      </c>
      <c r="I57" s="186">
        <f t="shared" si="8"/>
        <v>7.4999999999999997E-3</v>
      </c>
      <c r="J57" s="183" t="str">
        <f t="shared" si="2"/>
        <v>Sim</v>
      </c>
    </row>
    <row r="58" spans="1:12" ht="13.5" hidden="1" thickBot="1">
      <c r="A58" s="189"/>
      <c r="B58" s="183" t="s">
        <v>372</v>
      </c>
      <c r="C58" s="184"/>
      <c r="D58" s="188">
        <v>1</v>
      </c>
      <c r="E58" s="188">
        <v>0.5</v>
      </c>
      <c r="F58" s="185" t="s">
        <v>263</v>
      </c>
      <c r="G58" s="196">
        <v>1</v>
      </c>
      <c r="H58" s="186">
        <f t="shared" si="9"/>
        <v>1.4999999999999998E-6</v>
      </c>
      <c r="I58" s="186">
        <f t="shared" si="8"/>
        <v>7.4999999999999997E-3</v>
      </c>
      <c r="J58" s="183" t="str">
        <f t="shared" si="2"/>
        <v>Sim</v>
      </c>
    </row>
    <row r="59" spans="1:12" ht="13.5" hidden="1" thickBot="1">
      <c r="A59" s="189"/>
      <c r="B59" s="183" t="s">
        <v>373</v>
      </c>
      <c r="C59" s="184"/>
      <c r="D59" s="188">
        <v>1</v>
      </c>
      <c r="E59" s="188">
        <v>0.5</v>
      </c>
      <c r="F59" s="185" t="s">
        <v>263</v>
      </c>
      <c r="G59" s="196">
        <v>1</v>
      </c>
      <c r="H59" s="186">
        <f t="shared" si="9"/>
        <v>1.4999999999999998E-6</v>
      </c>
      <c r="I59" s="186">
        <f t="shared" si="8"/>
        <v>7.4999999999999997E-3</v>
      </c>
      <c r="J59" s="183" t="str">
        <f t="shared" si="2"/>
        <v>Sim</v>
      </c>
    </row>
    <row r="60" spans="1:12" ht="13.5" hidden="1" thickBot="1">
      <c r="A60" s="189"/>
      <c r="B60" s="183" t="s">
        <v>374</v>
      </c>
      <c r="C60" s="184"/>
      <c r="D60" s="188">
        <v>1</v>
      </c>
      <c r="E60" s="188">
        <v>0.5</v>
      </c>
      <c r="F60" s="185" t="s">
        <v>263</v>
      </c>
      <c r="G60" s="196">
        <v>1</v>
      </c>
      <c r="H60" s="186">
        <f t="shared" si="9"/>
        <v>1.4999999999999998E-6</v>
      </c>
      <c r="I60" s="186">
        <f t="shared" si="8"/>
        <v>7.4999999999999997E-3</v>
      </c>
      <c r="J60" s="183" t="str">
        <f t="shared" si="2"/>
        <v>Sim</v>
      </c>
    </row>
    <row r="61" spans="1:12" ht="13.5" hidden="1" thickBot="1">
      <c r="A61" s="182" t="s">
        <v>366</v>
      </c>
      <c r="B61" s="183" t="s">
        <v>378</v>
      </c>
      <c r="C61" s="184" t="s">
        <v>367</v>
      </c>
      <c r="D61" s="188">
        <v>1</v>
      </c>
      <c r="E61" s="188">
        <v>0.25</v>
      </c>
      <c r="F61" s="185" t="s">
        <v>263</v>
      </c>
      <c r="G61" s="196">
        <v>1</v>
      </c>
      <c r="H61" s="186">
        <f t="shared" si="9"/>
        <v>1.4999999999999998E-6</v>
      </c>
      <c r="I61" s="186">
        <f t="shared" si="8"/>
        <v>3.7499999999999999E-3</v>
      </c>
      <c r="J61" s="183" t="str">
        <f t="shared" si="2"/>
        <v>Sim</v>
      </c>
    </row>
    <row r="62" spans="1:12" ht="13.5" hidden="1" thickBot="1">
      <c r="A62" s="189"/>
      <c r="B62" s="183" t="s">
        <v>379</v>
      </c>
      <c r="C62" s="184"/>
      <c r="D62" s="188">
        <v>1</v>
      </c>
      <c r="E62" s="188">
        <v>0.25</v>
      </c>
      <c r="F62" s="185" t="s">
        <v>263</v>
      </c>
      <c r="G62" s="196">
        <v>1</v>
      </c>
      <c r="H62" s="186">
        <f t="shared" si="9"/>
        <v>1.4999999999999998E-6</v>
      </c>
      <c r="I62" s="186">
        <f t="shared" si="8"/>
        <v>3.7499999999999999E-3</v>
      </c>
      <c r="J62" s="183" t="str">
        <f t="shared" si="2"/>
        <v>Sim</v>
      </c>
    </row>
    <row r="63" spans="1:12" ht="13.5" hidden="1" thickBot="1">
      <c r="A63" s="189"/>
      <c r="B63" s="183" t="s">
        <v>380</v>
      </c>
      <c r="C63" s="184"/>
      <c r="D63" s="188">
        <v>1</v>
      </c>
      <c r="E63" s="188">
        <v>0.25</v>
      </c>
      <c r="F63" s="185" t="s">
        <v>263</v>
      </c>
      <c r="G63" s="196">
        <v>1</v>
      </c>
      <c r="H63" s="186">
        <f t="shared" si="9"/>
        <v>1.4999999999999998E-6</v>
      </c>
      <c r="I63" s="186">
        <f t="shared" si="8"/>
        <v>3.7499999999999999E-3</v>
      </c>
      <c r="J63" s="183" t="str">
        <f t="shared" si="2"/>
        <v>Sim</v>
      </c>
    </row>
    <row r="64" spans="1:12" ht="13.5" hidden="1" thickBot="1">
      <c r="A64" s="189"/>
      <c r="B64" s="183" t="s">
        <v>381</v>
      </c>
      <c r="C64" s="184"/>
      <c r="D64" s="188">
        <v>1</v>
      </c>
      <c r="E64" s="188">
        <v>0.25</v>
      </c>
      <c r="F64" s="185" t="s">
        <v>263</v>
      </c>
      <c r="G64" s="196">
        <v>1</v>
      </c>
      <c r="H64" s="186">
        <f t="shared" si="9"/>
        <v>1.4999999999999998E-6</v>
      </c>
      <c r="I64" s="186">
        <f t="shared" si="8"/>
        <v>3.7499999999999999E-3</v>
      </c>
      <c r="J64" s="183" t="str">
        <f t="shared" si="2"/>
        <v>Sim</v>
      </c>
    </row>
    <row r="65" spans="1:10" ht="13.5" hidden="1" thickBot="1">
      <c r="A65" s="189"/>
      <c r="B65" s="183" t="s">
        <v>382</v>
      </c>
      <c r="C65" s="184"/>
      <c r="D65" s="188">
        <v>1</v>
      </c>
      <c r="E65" s="188">
        <v>0.25</v>
      </c>
      <c r="F65" s="185" t="s">
        <v>263</v>
      </c>
      <c r="G65" s="196">
        <v>1</v>
      </c>
      <c r="H65" s="186">
        <f t="shared" si="9"/>
        <v>1.4999999999999998E-6</v>
      </c>
      <c r="I65" s="186">
        <f t="shared" si="8"/>
        <v>3.7499999999999999E-3</v>
      </c>
      <c r="J65" s="183" t="str">
        <f t="shared" si="2"/>
        <v>Sim</v>
      </c>
    </row>
    <row r="66" spans="1:10" ht="13.5" hidden="1" thickBot="1">
      <c r="A66" s="182" t="s">
        <v>388</v>
      </c>
      <c r="B66" s="183" t="s">
        <v>383</v>
      </c>
      <c r="C66" s="184" t="s">
        <v>267</v>
      </c>
      <c r="D66" s="188">
        <v>1</v>
      </c>
      <c r="E66" s="188">
        <v>0.25</v>
      </c>
      <c r="F66" s="185" t="s">
        <v>263</v>
      </c>
      <c r="G66" s="196">
        <v>1</v>
      </c>
      <c r="H66" s="186">
        <f>((G66*0.000001*60)/($F$3*$B$5))</f>
        <v>1.4999999999999998E-6</v>
      </c>
      <c r="I66" s="186">
        <f>H66*$F$6*E66*D66*50</f>
        <v>3.7499999999999999E-3</v>
      </c>
      <c r="J66" s="183" t="str">
        <f t="shared" si="2"/>
        <v>Sim</v>
      </c>
    </row>
    <row r="67" spans="1:10" ht="13.5" hidden="1" thickBot="1">
      <c r="A67" s="189"/>
      <c r="B67" s="183" t="s">
        <v>384</v>
      </c>
      <c r="C67" s="184"/>
      <c r="D67" s="188">
        <v>1</v>
      </c>
      <c r="E67" s="188">
        <v>0.25</v>
      </c>
      <c r="F67" s="185" t="s">
        <v>263</v>
      </c>
      <c r="G67" s="196">
        <v>1</v>
      </c>
      <c r="H67" s="186">
        <f>((G67*0.000001*60)/($F$3*$B$5))</f>
        <v>1.4999999999999998E-6</v>
      </c>
      <c r="I67" s="186">
        <f>H67*$F$6*E67*D67*50</f>
        <v>3.7499999999999999E-3</v>
      </c>
      <c r="J67" s="183" t="str">
        <f t="shared" si="2"/>
        <v>Sim</v>
      </c>
    </row>
    <row r="68" spans="1:10" ht="13.5" hidden="1" thickBot="1">
      <c r="A68" s="189"/>
      <c r="B68" s="183" t="s">
        <v>385</v>
      </c>
      <c r="C68" s="184"/>
      <c r="D68" s="188">
        <v>1</v>
      </c>
      <c r="E68" s="188">
        <v>0.25</v>
      </c>
      <c r="F68" s="185" t="s">
        <v>263</v>
      </c>
      <c r="G68" s="196">
        <v>1</v>
      </c>
      <c r="H68" s="186">
        <f>((G68*0.000001*60)/($F$3*$B$5))</f>
        <v>1.4999999999999998E-6</v>
      </c>
      <c r="I68" s="186">
        <f>H68*$F$6*E68*D68*50</f>
        <v>3.7499999999999999E-3</v>
      </c>
      <c r="J68" s="183" t="str">
        <f t="shared" si="2"/>
        <v>Sim</v>
      </c>
    </row>
    <row r="69" spans="1:10" ht="13.5" hidden="1" thickBot="1">
      <c r="A69" s="189"/>
      <c r="B69" s="183" t="s">
        <v>386</v>
      </c>
      <c r="C69" s="184"/>
      <c r="D69" s="188">
        <v>1</v>
      </c>
      <c r="E69" s="188">
        <v>0.25</v>
      </c>
      <c r="F69" s="185" t="s">
        <v>263</v>
      </c>
      <c r="G69" s="196">
        <v>1</v>
      </c>
      <c r="H69" s="186">
        <f>((G69*0.000001*60)/($F$3*$B$5))</f>
        <v>1.4999999999999998E-6</v>
      </c>
      <c r="I69" s="186">
        <f>H69*$F$6*E69*D69*50</f>
        <v>3.7499999999999999E-3</v>
      </c>
      <c r="J69" s="183" t="str">
        <f t="shared" si="2"/>
        <v>Sim</v>
      </c>
    </row>
    <row r="70" spans="1:10" ht="13.5" hidden="1" thickBot="1">
      <c r="A70" s="189"/>
      <c r="B70" s="183" t="s">
        <v>387</v>
      </c>
      <c r="C70" s="184"/>
      <c r="D70" s="188">
        <v>1</v>
      </c>
      <c r="E70" s="188">
        <v>0.25</v>
      </c>
      <c r="F70" s="185" t="s">
        <v>263</v>
      </c>
      <c r="G70" s="196">
        <v>1</v>
      </c>
      <c r="H70" s="186">
        <f>((G70*0.000001*60)/($F$3*$B$5))</f>
        <v>1.4999999999999998E-6</v>
      </c>
      <c r="I70" s="186">
        <f>H70*$F$6*E70*D70*50</f>
        <v>3.7499999999999999E-3</v>
      </c>
      <c r="J70" s="183" t="str">
        <f t="shared" si="2"/>
        <v>Sim</v>
      </c>
    </row>
    <row r="71" spans="1:10" hidden="1"/>
  </sheetData>
  <mergeCells count="8">
    <mergeCell ref="G3:H3"/>
    <mergeCell ref="J7:J8"/>
    <mergeCell ref="E7:E8"/>
    <mergeCell ref="F7:F8"/>
    <mergeCell ref="A7:A8"/>
    <mergeCell ref="B7:B8"/>
    <mergeCell ref="C7:C8"/>
    <mergeCell ref="D7:D8"/>
  </mergeCells>
  <phoneticPr fontId="21" type="noConversion"/>
  <pageMargins left="0.78740157499999996" right="0.78740157499999996" top="0.984251969" bottom="0.984251969" header="0.49212598499999999" footer="0.49212598499999999"/>
  <pageSetup paperSize="9" scale="7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12</vt:i4>
      </vt:variant>
    </vt:vector>
  </HeadingPairs>
  <TitlesOfParts>
    <vt:vector size="24" baseType="lpstr">
      <vt:lpstr>GABARITO DIGITAÇÃO</vt:lpstr>
      <vt:lpstr>CERTIFICADO</vt:lpstr>
      <vt:lpstr>Capa</vt:lpstr>
      <vt:lpstr>des</vt:lpstr>
      <vt:lpstr>Vistorias</vt:lpstr>
      <vt:lpstr>kVp</vt:lpstr>
      <vt:lpstr>Tubo</vt:lpstr>
      <vt:lpstr>Testes Mec.</vt:lpstr>
      <vt:lpstr>DEP</vt:lpstr>
      <vt:lpstr>Escopia</vt:lpstr>
      <vt:lpstr>Resultados</vt:lpstr>
      <vt:lpstr>LR</vt:lpstr>
      <vt:lpstr>Capa!Area_de_impressao</vt:lpstr>
      <vt:lpstr>CERTIFICADO!Area_de_impressao</vt:lpstr>
      <vt:lpstr>DEP!Area_de_impressao</vt:lpstr>
      <vt:lpstr>des!Area_de_impressao</vt:lpstr>
      <vt:lpstr>Escopia!Area_de_impressao</vt:lpstr>
      <vt:lpstr>'GABARITO DIGITAÇÃO'!Area_de_impressao</vt:lpstr>
      <vt:lpstr>kVp!Area_de_impressao</vt:lpstr>
      <vt:lpstr>LR!Area_de_impressao</vt:lpstr>
      <vt:lpstr>Resultados!Area_de_impressao</vt:lpstr>
      <vt:lpstr>'Testes Mec.'!Area_de_impressao</vt:lpstr>
      <vt:lpstr>Tubo!Area_de_impressao</vt:lpstr>
      <vt:lpstr>Vistorias!Area_de_impressao</vt:lpstr>
    </vt:vector>
  </TitlesOfParts>
  <Company>Rad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RX CQ atual</dc:title>
  <dc:creator>Usuario</dc:creator>
  <cp:lastModifiedBy>Breno Comazzetto</cp:lastModifiedBy>
  <cp:lastPrinted>2018-04-27T13:39:39Z</cp:lastPrinted>
  <dcterms:created xsi:type="dcterms:W3CDTF">1997-09-16T18:19:55Z</dcterms:created>
  <dcterms:modified xsi:type="dcterms:W3CDTF">2018-04-27T14:11:49Z</dcterms:modified>
</cp:coreProperties>
</file>